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ED90592-B245-44A5-9CAB-14751E5F0762}" xr6:coauthVersionLast="47" xr6:coauthVersionMax="47" xr10:uidLastSave="{00000000-0000-0000-0000-000000000000}"/>
  <bookViews>
    <workbookView xWindow="-110" yWindow="-110" windowWidth="19420" windowHeight="10300" firstSheet="1" activeTab="4" xr2:uid="{A109239F-88B2-4AC7-A7B5-E62769900A99}"/>
  </bookViews>
  <sheets>
    <sheet name="Perhitungan Intensitas Penyakit" sheetId="1" r:id="rId1"/>
    <sheet name="Jumlah Daun" sheetId="5" r:id="rId2"/>
    <sheet name="Tinggi Tanaman" sheetId="2" r:id="rId3"/>
    <sheet name="Jumlah Anakan" sheetId="4" r:id="rId4"/>
    <sheet name="Intensitas Penyaki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5" l="1"/>
  <c r="Q96" i="6" l="1"/>
  <c r="Q97" i="6"/>
  <c r="Q98" i="6"/>
  <c r="Q99" i="6"/>
  <c r="Q100" i="6"/>
  <c r="Q101" i="6"/>
  <c r="Q102" i="6"/>
  <c r="Q103" i="6"/>
  <c r="Q95" i="6"/>
  <c r="P96" i="6"/>
  <c r="P97" i="6"/>
  <c r="P98" i="6"/>
  <c r="P99" i="6"/>
  <c r="P100" i="6"/>
  <c r="P101" i="6"/>
  <c r="P102" i="6"/>
  <c r="P103" i="6"/>
  <c r="P95" i="6"/>
  <c r="E105" i="6"/>
  <c r="F105" i="6"/>
  <c r="G105" i="6"/>
  <c r="H105" i="6"/>
  <c r="I105" i="6"/>
  <c r="J105" i="6"/>
  <c r="K105" i="6"/>
  <c r="L105" i="6"/>
  <c r="M105" i="6"/>
  <c r="N105" i="6"/>
  <c r="O105" i="6"/>
  <c r="E104" i="6"/>
  <c r="F104" i="6"/>
  <c r="G104" i="6"/>
  <c r="H104" i="6"/>
  <c r="I104" i="6"/>
  <c r="J104" i="6"/>
  <c r="K104" i="6"/>
  <c r="L104" i="6"/>
  <c r="M104" i="6"/>
  <c r="N104" i="6"/>
  <c r="O104" i="6"/>
  <c r="D105" i="6"/>
  <c r="D104" i="6"/>
  <c r="Q81" i="6"/>
  <c r="Q82" i="6"/>
  <c r="Q83" i="6"/>
  <c r="Q84" i="6"/>
  <c r="Q85" i="6"/>
  <c r="Q86" i="6"/>
  <c r="Q87" i="6"/>
  <c r="Q88" i="6"/>
  <c r="Q80" i="6"/>
  <c r="P81" i="6"/>
  <c r="P82" i="6"/>
  <c r="P83" i="6"/>
  <c r="P84" i="6"/>
  <c r="P85" i="6"/>
  <c r="P86" i="6"/>
  <c r="P87" i="6"/>
  <c r="P88" i="6"/>
  <c r="P80" i="6"/>
  <c r="E90" i="6"/>
  <c r="F90" i="6"/>
  <c r="G90" i="6"/>
  <c r="H90" i="6"/>
  <c r="I90" i="6"/>
  <c r="J90" i="6"/>
  <c r="K90" i="6"/>
  <c r="L90" i="6"/>
  <c r="M90" i="6"/>
  <c r="N90" i="6"/>
  <c r="O90" i="6"/>
  <c r="D90" i="6"/>
  <c r="E89" i="6"/>
  <c r="F89" i="6"/>
  <c r="G89" i="6"/>
  <c r="H89" i="6"/>
  <c r="I89" i="6"/>
  <c r="J89" i="6"/>
  <c r="K89" i="6"/>
  <c r="L89" i="6"/>
  <c r="M89" i="6"/>
  <c r="N89" i="6"/>
  <c r="O89" i="6"/>
  <c r="D89" i="6"/>
  <c r="Q66" i="6"/>
  <c r="Q67" i="6"/>
  <c r="Q68" i="6"/>
  <c r="Q69" i="6"/>
  <c r="Q70" i="6"/>
  <c r="Q71" i="6"/>
  <c r="Q72" i="6"/>
  <c r="Q73" i="6"/>
  <c r="Q65" i="6"/>
  <c r="P66" i="6"/>
  <c r="P67" i="6"/>
  <c r="P68" i="6"/>
  <c r="P69" i="6"/>
  <c r="P70" i="6"/>
  <c r="P71" i="6"/>
  <c r="P72" i="6"/>
  <c r="P73" i="6"/>
  <c r="P65" i="6"/>
  <c r="E75" i="6"/>
  <c r="F75" i="6"/>
  <c r="G75" i="6"/>
  <c r="H75" i="6"/>
  <c r="I75" i="6"/>
  <c r="J75" i="6"/>
  <c r="K75" i="6"/>
  <c r="L75" i="6"/>
  <c r="M75" i="6"/>
  <c r="N75" i="6"/>
  <c r="O75" i="6"/>
  <c r="D75" i="6"/>
  <c r="O74" i="6"/>
  <c r="E74" i="6"/>
  <c r="F74" i="6"/>
  <c r="G74" i="6"/>
  <c r="H74" i="6"/>
  <c r="I74" i="6"/>
  <c r="J74" i="6"/>
  <c r="K74" i="6"/>
  <c r="L74" i="6"/>
  <c r="M74" i="6"/>
  <c r="N74" i="6"/>
  <c r="D74" i="6"/>
  <c r="Q51" i="6"/>
  <c r="Q52" i="6"/>
  <c r="Q53" i="6"/>
  <c r="Q54" i="6"/>
  <c r="Q55" i="6"/>
  <c r="Q56" i="6"/>
  <c r="Q57" i="6"/>
  <c r="Q58" i="6"/>
  <c r="Q50" i="6"/>
  <c r="P51" i="6"/>
  <c r="P52" i="6"/>
  <c r="P53" i="6"/>
  <c r="P54" i="6"/>
  <c r="P55" i="6"/>
  <c r="P56" i="6"/>
  <c r="P57" i="6"/>
  <c r="P58" i="6"/>
  <c r="P50" i="6"/>
  <c r="E60" i="6"/>
  <c r="F60" i="6"/>
  <c r="G60" i="6"/>
  <c r="H60" i="6"/>
  <c r="I60" i="6"/>
  <c r="J60" i="6"/>
  <c r="K60" i="6"/>
  <c r="L60" i="6"/>
  <c r="M60" i="6"/>
  <c r="N60" i="6"/>
  <c r="O60" i="6"/>
  <c r="D60" i="6"/>
  <c r="E59" i="6"/>
  <c r="F59" i="6"/>
  <c r="G59" i="6"/>
  <c r="H59" i="6"/>
  <c r="I59" i="6"/>
  <c r="J59" i="6"/>
  <c r="K59" i="6"/>
  <c r="L59" i="6"/>
  <c r="M59" i="6"/>
  <c r="N59" i="6"/>
  <c r="O59" i="6"/>
  <c r="D59" i="6"/>
  <c r="Q36" i="6"/>
  <c r="Q37" i="6"/>
  <c r="Q38" i="6"/>
  <c r="Q39" i="6"/>
  <c r="Q40" i="6"/>
  <c r="Q41" i="6"/>
  <c r="Q42" i="6"/>
  <c r="Q43" i="6"/>
  <c r="Q35" i="6"/>
  <c r="P36" i="6"/>
  <c r="P37" i="6"/>
  <c r="P38" i="6"/>
  <c r="P39" i="6"/>
  <c r="P40" i="6"/>
  <c r="P41" i="6"/>
  <c r="P42" i="6"/>
  <c r="P43" i="6"/>
  <c r="P35" i="6"/>
  <c r="E45" i="6"/>
  <c r="F45" i="6"/>
  <c r="G45" i="6"/>
  <c r="H45" i="6"/>
  <c r="I45" i="6"/>
  <c r="J45" i="6"/>
  <c r="K45" i="6"/>
  <c r="L45" i="6"/>
  <c r="M45" i="6"/>
  <c r="N45" i="6"/>
  <c r="O45" i="6"/>
  <c r="D45" i="6"/>
  <c r="E44" i="6"/>
  <c r="F44" i="6"/>
  <c r="G44" i="6"/>
  <c r="H44" i="6"/>
  <c r="I44" i="6"/>
  <c r="J44" i="6"/>
  <c r="K44" i="6"/>
  <c r="L44" i="6"/>
  <c r="M44" i="6"/>
  <c r="N44" i="6"/>
  <c r="O44" i="6"/>
  <c r="D44" i="6"/>
  <c r="Q21" i="6"/>
  <c r="Q22" i="6"/>
  <c r="Q23" i="6"/>
  <c r="Q24" i="6"/>
  <c r="Q25" i="6"/>
  <c r="Q26" i="6"/>
  <c r="Q27" i="6"/>
  <c r="Q28" i="6"/>
  <c r="Q20" i="6"/>
  <c r="E30" i="6"/>
  <c r="F30" i="6"/>
  <c r="G30" i="6"/>
  <c r="H30" i="6"/>
  <c r="I30" i="6"/>
  <c r="J30" i="6"/>
  <c r="K30" i="6"/>
  <c r="L30" i="6"/>
  <c r="M30" i="6"/>
  <c r="N30" i="6"/>
  <c r="O30" i="6"/>
  <c r="D30" i="6"/>
  <c r="P28" i="6"/>
  <c r="E29" i="6"/>
  <c r="F29" i="6"/>
  <c r="G29" i="6"/>
  <c r="H29" i="6"/>
  <c r="I29" i="6"/>
  <c r="J29" i="6"/>
  <c r="K29" i="6"/>
  <c r="L29" i="6"/>
  <c r="M29" i="6"/>
  <c r="N29" i="6"/>
  <c r="O29" i="6"/>
  <c r="D29" i="6"/>
  <c r="P21" i="6"/>
  <c r="P22" i="6"/>
  <c r="P23" i="6"/>
  <c r="P24" i="6"/>
  <c r="P25" i="6"/>
  <c r="P26" i="6"/>
  <c r="P27" i="6"/>
  <c r="P20" i="6"/>
  <c r="E15" i="6"/>
  <c r="F15" i="6"/>
  <c r="G15" i="6"/>
  <c r="H15" i="6"/>
  <c r="I15" i="6"/>
  <c r="J15" i="6"/>
  <c r="K15" i="6"/>
  <c r="L15" i="6"/>
  <c r="M15" i="6"/>
  <c r="N15" i="6"/>
  <c r="O15" i="6"/>
  <c r="D15" i="6"/>
  <c r="Q6" i="6"/>
  <c r="Q7" i="6"/>
  <c r="Q8" i="6"/>
  <c r="Q9" i="6"/>
  <c r="Q10" i="6"/>
  <c r="Q11" i="6"/>
  <c r="Q12" i="6"/>
  <c r="Q13" i="6"/>
  <c r="Q5" i="6"/>
  <c r="E14" i="6"/>
  <c r="F14" i="6"/>
  <c r="G14" i="6"/>
  <c r="H14" i="6"/>
  <c r="I14" i="6"/>
  <c r="J14" i="6"/>
  <c r="K14" i="6"/>
  <c r="L14" i="6"/>
  <c r="M14" i="6"/>
  <c r="N14" i="6"/>
  <c r="O14" i="6"/>
  <c r="D14" i="6"/>
  <c r="P6" i="6"/>
  <c r="P7" i="6"/>
  <c r="P8" i="6"/>
  <c r="P9" i="6"/>
  <c r="P10" i="6"/>
  <c r="P11" i="6"/>
  <c r="P12" i="6"/>
  <c r="P13" i="6"/>
  <c r="P5" i="6"/>
  <c r="AG23" i="1"/>
  <c r="Q103" i="4"/>
  <c r="Q104" i="4"/>
  <c r="Q105" i="4"/>
  <c r="Q106" i="4"/>
  <c r="Q107" i="4"/>
  <c r="Q108" i="4"/>
  <c r="Q109" i="4"/>
  <c r="Q110" i="4"/>
  <c r="Q102" i="4"/>
  <c r="P103" i="4"/>
  <c r="P104" i="4"/>
  <c r="P105" i="4"/>
  <c r="P106" i="4"/>
  <c r="P107" i="4"/>
  <c r="P108" i="4"/>
  <c r="P109" i="4"/>
  <c r="P110" i="4"/>
  <c r="P102" i="4"/>
  <c r="E112" i="4"/>
  <c r="F112" i="4"/>
  <c r="G112" i="4"/>
  <c r="H112" i="4"/>
  <c r="I112" i="4"/>
  <c r="J112" i="4"/>
  <c r="K112" i="4"/>
  <c r="L112" i="4"/>
  <c r="M112" i="4"/>
  <c r="N112" i="4"/>
  <c r="O112" i="4"/>
  <c r="E111" i="4"/>
  <c r="F111" i="4"/>
  <c r="G111" i="4"/>
  <c r="H111" i="4"/>
  <c r="I111" i="4"/>
  <c r="J111" i="4"/>
  <c r="K111" i="4"/>
  <c r="L111" i="4"/>
  <c r="M111" i="4"/>
  <c r="N111" i="4"/>
  <c r="O111" i="4"/>
  <c r="D112" i="4"/>
  <c r="D111" i="4"/>
  <c r="Q87" i="4"/>
  <c r="Q88" i="4"/>
  <c r="Q89" i="4"/>
  <c r="Q90" i="4"/>
  <c r="Q91" i="4"/>
  <c r="Q92" i="4"/>
  <c r="Q93" i="4"/>
  <c r="Q94" i="4"/>
  <c r="Q86" i="4"/>
  <c r="P87" i="4"/>
  <c r="P88" i="4"/>
  <c r="P89" i="4"/>
  <c r="P90" i="4"/>
  <c r="P91" i="4"/>
  <c r="P92" i="4"/>
  <c r="P93" i="4"/>
  <c r="P94" i="4"/>
  <c r="P86" i="4"/>
  <c r="E95" i="4"/>
  <c r="F95" i="4"/>
  <c r="G95" i="4"/>
  <c r="H95" i="4"/>
  <c r="I95" i="4"/>
  <c r="J95" i="4"/>
  <c r="K95" i="4"/>
  <c r="L95" i="4"/>
  <c r="M95" i="4"/>
  <c r="N95" i="4"/>
  <c r="O95" i="4"/>
  <c r="E96" i="4"/>
  <c r="F96" i="4"/>
  <c r="G96" i="4"/>
  <c r="H96" i="4"/>
  <c r="I96" i="4"/>
  <c r="J96" i="4"/>
  <c r="K96" i="4"/>
  <c r="L96" i="4"/>
  <c r="M96" i="4"/>
  <c r="N96" i="4"/>
  <c r="O96" i="4"/>
  <c r="D96" i="4"/>
  <c r="D95" i="4"/>
  <c r="Q71" i="4"/>
  <c r="Q72" i="4"/>
  <c r="Q73" i="4"/>
  <c r="Q74" i="4"/>
  <c r="Q75" i="4"/>
  <c r="Q76" i="4"/>
  <c r="Q77" i="4"/>
  <c r="Q78" i="4"/>
  <c r="Q70" i="4"/>
  <c r="P71" i="4"/>
  <c r="P72" i="4"/>
  <c r="P73" i="4"/>
  <c r="P74" i="4"/>
  <c r="P75" i="4"/>
  <c r="P76" i="4"/>
  <c r="P77" i="4"/>
  <c r="P78" i="4"/>
  <c r="P70" i="4"/>
  <c r="E80" i="4"/>
  <c r="F80" i="4"/>
  <c r="G80" i="4"/>
  <c r="H80" i="4"/>
  <c r="I80" i="4"/>
  <c r="J80" i="4"/>
  <c r="K80" i="4"/>
  <c r="L80" i="4"/>
  <c r="M80" i="4"/>
  <c r="N80" i="4"/>
  <c r="O80" i="4"/>
  <c r="E79" i="4"/>
  <c r="F79" i="4"/>
  <c r="G79" i="4"/>
  <c r="H79" i="4"/>
  <c r="I79" i="4"/>
  <c r="J79" i="4"/>
  <c r="K79" i="4"/>
  <c r="L79" i="4"/>
  <c r="M79" i="4"/>
  <c r="N79" i="4"/>
  <c r="O79" i="4"/>
  <c r="D80" i="4"/>
  <c r="D79" i="4"/>
  <c r="Q62" i="4"/>
  <c r="Q55" i="4"/>
  <c r="Q56" i="4"/>
  <c r="Q57" i="4"/>
  <c r="Q58" i="4"/>
  <c r="Q59" i="4"/>
  <c r="Q60" i="4"/>
  <c r="Q61" i="4"/>
  <c r="Q54" i="4"/>
  <c r="P55" i="4"/>
  <c r="P56" i="4"/>
  <c r="P57" i="4"/>
  <c r="P58" i="4"/>
  <c r="P59" i="4"/>
  <c r="P60" i="4"/>
  <c r="P61" i="4"/>
  <c r="P62" i="4"/>
  <c r="P54" i="4"/>
  <c r="E64" i="4"/>
  <c r="F64" i="4"/>
  <c r="G64" i="4"/>
  <c r="H64" i="4"/>
  <c r="I64" i="4"/>
  <c r="J64" i="4"/>
  <c r="K64" i="4"/>
  <c r="L64" i="4"/>
  <c r="M64" i="4"/>
  <c r="N64" i="4"/>
  <c r="O64" i="4"/>
  <c r="E63" i="4"/>
  <c r="F63" i="4"/>
  <c r="G63" i="4"/>
  <c r="H63" i="4"/>
  <c r="I63" i="4"/>
  <c r="J63" i="4"/>
  <c r="K63" i="4"/>
  <c r="L63" i="4"/>
  <c r="M63" i="4"/>
  <c r="N63" i="4"/>
  <c r="O63" i="4"/>
  <c r="D64" i="4"/>
  <c r="D63" i="4"/>
  <c r="Q39" i="4"/>
  <c r="Q40" i="4"/>
  <c r="Q41" i="4"/>
  <c r="Q42" i="4"/>
  <c r="Q43" i="4"/>
  <c r="Q44" i="4"/>
  <c r="Q45" i="4"/>
  <c r="Q46" i="4"/>
  <c r="Q38" i="4"/>
  <c r="P39" i="4"/>
  <c r="P40" i="4"/>
  <c r="P41" i="4"/>
  <c r="P42" i="4"/>
  <c r="P43" i="4"/>
  <c r="P44" i="4"/>
  <c r="P45" i="4"/>
  <c r="P46" i="4"/>
  <c r="P38" i="4"/>
  <c r="E48" i="4"/>
  <c r="F48" i="4"/>
  <c r="G48" i="4"/>
  <c r="H48" i="4"/>
  <c r="I48" i="4"/>
  <c r="J48" i="4"/>
  <c r="K48" i="4"/>
  <c r="L48" i="4"/>
  <c r="M48" i="4"/>
  <c r="N48" i="4"/>
  <c r="O48" i="4"/>
  <c r="E47" i="4"/>
  <c r="F47" i="4"/>
  <c r="G47" i="4"/>
  <c r="H47" i="4"/>
  <c r="I47" i="4"/>
  <c r="J47" i="4"/>
  <c r="K47" i="4"/>
  <c r="L47" i="4"/>
  <c r="M47" i="4"/>
  <c r="N47" i="4"/>
  <c r="O47" i="4"/>
  <c r="D48" i="4"/>
  <c r="D47" i="4"/>
  <c r="Q23" i="4"/>
  <c r="Q24" i="4"/>
  <c r="Q25" i="4"/>
  <c r="Q26" i="4"/>
  <c r="Q27" i="4"/>
  <c r="Q28" i="4"/>
  <c r="Q29" i="4"/>
  <c r="Q30" i="4"/>
  <c r="Q22" i="4"/>
  <c r="P23" i="4"/>
  <c r="P24" i="4"/>
  <c r="P25" i="4"/>
  <c r="P26" i="4"/>
  <c r="P27" i="4"/>
  <c r="P28" i="4"/>
  <c r="P29" i="4"/>
  <c r="P30" i="4"/>
  <c r="P22" i="4"/>
  <c r="E32" i="4"/>
  <c r="F32" i="4"/>
  <c r="G32" i="4"/>
  <c r="H32" i="4"/>
  <c r="I32" i="4"/>
  <c r="J32" i="4"/>
  <c r="K32" i="4"/>
  <c r="L32" i="4"/>
  <c r="M32" i="4"/>
  <c r="N32" i="4"/>
  <c r="O32" i="4"/>
  <c r="E31" i="4"/>
  <c r="F31" i="4"/>
  <c r="G31" i="4"/>
  <c r="H31" i="4"/>
  <c r="I31" i="4"/>
  <c r="J31" i="4"/>
  <c r="K31" i="4"/>
  <c r="L31" i="4"/>
  <c r="M31" i="4"/>
  <c r="N31" i="4"/>
  <c r="O31" i="4"/>
  <c r="D32" i="4"/>
  <c r="D31" i="4"/>
  <c r="Q7" i="4"/>
  <c r="Q8" i="4"/>
  <c r="Q9" i="4"/>
  <c r="Q10" i="4"/>
  <c r="Q11" i="4"/>
  <c r="Q12" i="4"/>
  <c r="Q13" i="4"/>
  <c r="Q14" i="4"/>
  <c r="Q6" i="4"/>
  <c r="P7" i="4"/>
  <c r="P8" i="4"/>
  <c r="P9" i="4"/>
  <c r="P10" i="4"/>
  <c r="P11" i="4"/>
  <c r="P12" i="4"/>
  <c r="P13" i="4"/>
  <c r="P14" i="4"/>
  <c r="P6" i="4"/>
  <c r="E16" i="4"/>
  <c r="F16" i="4"/>
  <c r="G16" i="4"/>
  <c r="H16" i="4"/>
  <c r="I16" i="4"/>
  <c r="J16" i="4"/>
  <c r="K16" i="4"/>
  <c r="L16" i="4"/>
  <c r="M16" i="4"/>
  <c r="N16" i="4"/>
  <c r="O16" i="4"/>
  <c r="E15" i="4"/>
  <c r="F15" i="4"/>
  <c r="G15" i="4"/>
  <c r="H15" i="4"/>
  <c r="I15" i="4"/>
  <c r="J15" i="4"/>
  <c r="K15" i="4"/>
  <c r="L15" i="4"/>
  <c r="M15" i="4"/>
  <c r="N15" i="4"/>
  <c r="O15" i="4"/>
  <c r="D16" i="4"/>
  <c r="D15" i="4"/>
  <c r="P23" i="2"/>
  <c r="P24" i="2"/>
  <c r="P25" i="2"/>
  <c r="P26" i="2"/>
  <c r="P27" i="2"/>
  <c r="P28" i="2"/>
  <c r="P29" i="2"/>
  <c r="P30" i="2"/>
  <c r="P135" i="2"/>
  <c r="P136" i="2"/>
  <c r="P137" i="2"/>
  <c r="P138" i="2"/>
  <c r="P139" i="2"/>
  <c r="P140" i="2"/>
  <c r="P141" i="2"/>
  <c r="P142" i="2"/>
  <c r="P134" i="2"/>
  <c r="E144" i="2"/>
  <c r="F144" i="2"/>
  <c r="G144" i="2"/>
  <c r="H144" i="2"/>
  <c r="I144" i="2"/>
  <c r="J144" i="2"/>
  <c r="K144" i="2"/>
  <c r="L144" i="2"/>
  <c r="M144" i="2"/>
  <c r="N144" i="2"/>
  <c r="O144" i="2"/>
  <c r="E143" i="2"/>
  <c r="F143" i="2"/>
  <c r="G143" i="2"/>
  <c r="H143" i="2"/>
  <c r="I143" i="2"/>
  <c r="J143" i="2"/>
  <c r="K143" i="2"/>
  <c r="L143" i="2"/>
  <c r="M143" i="2"/>
  <c r="N143" i="2"/>
  <c r="O143" i="2"/>
  <c r="D144" i="2"/>
  <c r="D143" i="2"/>
  <c r="P119" i="2"/>
  <c r="P120" i="2"/>
  <c r="P121" i="2"/>
  <c r="P122" i="2"/>
  <c r="P123" i="2"/>
  <c r="P124" i="2"/>
  <c r="P125" i="2"/>
  <c r="P126" i="2"/>
  <c r="P118" i="2"/>
  <c r="E128" i="2"/>
  <c r="F128" i="2"/>
  <c r="G128" i="2"/>
  <c r="H128" i="2"/>
  <c r="I128" i="2"/>
  <c r="J128" i="2"/>
  <c r="K128" i="2"/>
  <c r="L128" i="2"/>
  <c r="M128" i="2"/>
  <c r="N128" i="2"/>
  <c r="O128" i="2"/>
  <c r="E127" i="2"/>
  <c r="F127" i="2"/>
  <c r="G127" i="2"/>
  <c r="H127" i="2"/>
  <c r="I127" i="2"/>
  <c r="J127" i="2"/>
  <c r="K127" i="2"/>
  <c r="L127" i="2"/>
  <c r="M127" i="2"/>
  <c r="N127" i="2"/>
  <c r="O127" i="2"/>
  <c r="D128" i="2"/>
  <c r="D127" i="2"/>
  <c r="P103" i="2"/>
  <c r="P104" i="2"/>
  <c r="P105" i="2"/>
  <c r="P106" i="2"/>
  <c r="P107" i="2"/>
  <c r="P108" i="2"/>
  <c r="P109" i="2"/>
  <c r="P110" i="2"/>
  <c r="P102" i="2"/>
  <c r="E112" i="2"/>
  <c r="F112" i="2"/>
  <c r="G112" i="2"/>
  <c r="H112" i="2"/>
  <c r="I112" i="2"/>
  <c r="J112" i="2"/>
  <c r="K112" i="2"/>
  <c r="L112" i="2"/>
  <c r="M112" i="2"/>
  <c r="N112" i="2"/>
  <c r="O112" i="2"/>
  <c r="E111" i="2"/>
  <c r="F111" i="2"/>
  <c r="G111" i="2"/>
  <c r="H111" i="2"/>
  <c r="I111" i="2"/>
  <c r="J111" i="2"/>
  <c r="K111" i="2"/>
  <c r="L111" i="2"/>
  <c r="M111" i="2"/>
  <c r="N111" i="2"/>
  <c r="O111" i="2"/>
  <c r="D112" i="2"/>
  <c r="D111" i="2"/>
  <c r="P87" i="2"/>
  <c r="P88" i="2"/>
  <c r="P89" i="2"/>
  <c r="P90" i="2"/>
  <c r="P91" i="2"/>
  <c r="P92" i="2"/>
  <c r="P93" i="2"/>
  <c r="P94" i="2"/>
  <c r="P86" i="2"/>
  <c r="E96" i="2"/>
  <c r="F96" i="2"/>
  <c r="G96" i="2"/>
  <c r="H96" i="2"/>
  <c r="I96" i="2"/>
  <c r="J96" i="2"/>
  <c r="K96" i="2"/>
  <c r="L96" i="2"/>
  <c r="M96" i="2"/>
  <c r="N96" i="2"/>
  <c r="O96" i="2"/>
  <c r="E95" i="2"/>
  <c r="F95" i="2"/>
  <c r="G95" i="2"/>
  <c r="H95" i="2"/>
  <c r="I95" i="2"/>
  <c r="J95" i="2"/>
  <c r="K95" i="2"/>
  <c r="L95" i="2"/>
  <c r="M95" i="2"/>
  <c r="N95" i="2"/>
  <c r="O95" i="2"/>
  <c r="D96" i="2"/>
  <c r="D95" i="2"/>
  <c r="P71" i="2"/>
  <c r="P72" i="2"/>
  <c r="P73" i="2"/>
  <c r="P74" i="2"/>
  <c r="P75" i="2"/>
  <c r="P76" i="2"/>
  <c r="P77" i="2"/>
  <c r="P78" i="2"/>
  <c r="P70" i="2"/>
  <c r="E80" i="2"/>
  <c r="F80" i="2"/>
  <c r="G80" i="2"/>
  <c r="H80" i="2"/>
  <c r="I80" i="2"/>
  <c r="J80" i="2"/>
  <c r="K80" i="2"/>
  <c r="L80" i="2"/>
  <c r="M80" i="2"/>
  <c r="N80" i="2"/>
  <c r="O80" i="2"/>
  <c r="E79" i="2"/>
  <c r="F79" i="2"/>
  <c r="G79" i="2"/>
  <c r="H79" i="2"/>
  <c r="I79" i="2"/>
  <c r="J79" i="2"/>
  <c r="K79" i="2"/>
  <c r="L79" i="2"/>
  <c r="M79" i="2"/>
  <c r="N79" i="2"/>
  <c r="O79" i="2"/>
  <c r="D80" i="2"/>
  <c r="D79" i="2"/>
  <c r="P55" i="2"/>
  <c r="P56" i="2"/>
  <c r="P57" i="2"/>
  <c r="P58" i="2"/>
  <c r="P59" i="2"/>
  <c r="P60" i="2"/>
  <c r="P61" i="2"/>
  <c r="P62" i="2"/>
  <c r="P54" i="2"/>
  <c r="E64" i="2"/>
  <c r="F64" i="2"/>
  <c r="G64" i="2"/>
  <c r="H64" i="2"/>
  <c r="I64" i="2"/>
  <c r="J64" i="2"/>
  <c r="K64" i="2"/>
  <c r="L64" i="2"/>
  <c r="M64" i="2"/>
  <c r="N64" i="2"/>
  <c r="O64" i="2"/>
  <c r="E63" i="2"/>
  <c r="F63" i="2"/>
  <c r="G63" i="2"/>
  <c r="H63" i="2"/>
  <c r="I63" i="2"/>
  <c r="J63" i="2"/>
  <c r="K63" i="2"/>
  <c r="L63" i="2"/>
  <c r="M63" i="2"/>
  <c r="N63" i="2"/>
  <c r="O63" i="2"/>
  <c r="D64" i="2"/>
  <c r="D63" i="2"/>
  <c r="P40" i="2"/>
  <c r="P39" i="2"/>
  <c r="P41" i="2"/>
  <c r="P42" i="2"/>
  <c r="P43" i="2"/>
  <c r="P44" i="2"/>
  <c r="P45" i="2"/>
  <c r="P46" i="2"/>
  <c r="P38" i="2"/>
  <c r="E48" i="2"/>
  <c r="F48" i="2"/>
  <c r="G48" i="2"/>
  <c r="H48" i="2"/>
  <c r="I48" i="2"/>
  <c r="J48" i="2"/>
  <c r="K48" i="2"/>
  <c r="L48" i="2"/>
  <c r="M48" i="2"/>
  <c r="N48" i="2"/>
  <c r="O48" i="2"/>
  <c r="D48" i="2"/>
  <c r="E47" i="2"/>
  <c r="F47" i="2"/>
  <c r="G47" i="2"/>
  <c r="H47" i="2"/>
  <c r="I47" i="2"/>
  <c r="J47" i="2"/>
  <c r="K47" i="2"/>
  <c r="L47" i="2"/>
  <c r="M47" i="2"/>
  <c r="N47" i="2"/>
  <c r="O47" i="2"/>
  <c r="D47" i="2"/>
  <c r="E32" i="2"/>
  <c r="F32" i="2"/>
  <c r="G32" i="2"/>
  <c r="H32" i="2"/>
  <c r="I32" i="2"/>
  <c r="J32" i="2"/>
  <c r="K32" i="2"/>
  <c r="L32" i="2"/>
  <c r="M32" i="2"/>
  <c r="N32" i="2"/>
  <c r="O32" i="2"/>
  <c r="E31" i="2"/>
  <c r="F31" i="2"/>
  <c r="G31" i="2"/>
  <c r="H31" i="2"/>
  <c r="I31" i="2"/>
  <c r="J31" i="2"/>
  <c r="K31" i="2"/>
  <c r="L31" i="2"/>
  <c r="M31" i="2"/>
  <c r="N31" i="2"/>
  <c r="O31" i="2"/>
  <c r="P22" i="2"/>
  <c r="D32" i="2"/>
  <c r="D31" i="2"/>
  <c r="P7" i="2"/>
  <c r="P8" i="2"/>
  <c r="P9" i="2"/>
  <c r="P10" i="2"/>
  <c r="P11" i="2"/>
  <c r="P12" i="2"/>
  <c r="P13" i="2"/>
  <c r="P14" i="2"/>
  <c r="E16" i="2"/>
  <c r="F16" i="2"/>
  <c r="G16" i="2"/>
  <c r="H16" i="2"/>
  <c r="I16" i="2"/>
  <c r="J16" i="2"/>
  <c r="K16" i="2"/>
  <c r="L16" i="2"/>
  <c r="M16" i="2"/>
  <c r="N16" i="2"/>
  <c r="O16" i="2"/>
  <c r="E15" i="2"/>
  <c r="F15" i="2"/>
  <c r="G15" i="2"/>
  <c r="H15" i="2"/>
  <c r="I15" i="2"/>
  <c r="J15" i="2"/>
  <c r="K15" i="2"/>
  <c r="L15" i="2"/>
  <c r="M15" i="2"/>
  <c r="N15" i="2"/>
  <c r="O15" i="2"/>
  <c r="P6" i="2"/>
  <c r="D16" i="2"/>
  <c r="D15" i="2"/>
  <c r="Q126" i="5"/>
  <c r="Q127" i="5"/>
  <c r="Q128" i="5"/>
  <c r="Q129" i="5"/>
  <c r="Q130" i="5"/>
  <c r="Q131" i="5"/>
  <c r="Q132" i="5"/>
  <c r="Q133" i="5"/>
  <c r="P126" i="5"/>
  <c r="P127" i="5"/>
  <c r="P128" i="5"/>
  <c r="P129" i="5"/>
  <c r="P130" i="5"/>
  <c r="P131" i="5"/>
  <c r="P132" i="5"/>
  <c r="P133" i="5"/>
  <c r="E135" i="5"/>
  <c r="F135" i="5"/>
  <c r="G135" i="5"/>
  <c r="H135" i="5"/>
  <c r="I135" i="5"/>
  <c r="J135" i="5"/>
  <c r="K135" i="5"/>
  <c r="L135" i="5"/>
  <c r="M135" i="5"/>
  <c r="N135" i="5"/>
  <c r="O135" i="5"/>
  <c r="E134" i="5"/>
  <c r="F134" i="5"/>
  <c r="G134" i="5"/>
  <c r="H134" i="5"/>
  <c r="I134" i="5"/>
  <c r="J134" i="5"/>
  <c r="K134" i="5"/>
  <c r="L134" i="5"/>
  <c r="M134" i="5"/>
  <c r="N134" i="5"/>
  <c r="O134" i="5"/>
  <c r="Q125" i="5"/>
  <c r="P125" i="5"/>
  <c r="D135" i="5"/>
  <c r="D134" i="5"/>
  <c r="E120" i="5"/>
  <c r="F120" i="5"/>
  <c r="G120" i="5"/>
  <c r="H120" i="5"/>
  <c r="I120" i="5"/>
  <c r="J120" i="5"/>
  <c r="K120" i="5"/>
  <c r="L120" i="5"/>
  <c r="M120" i="5"/>
  <c r="N120" i="5"/>
  <c r="O120" i="5"/>
  <c r="Q111" i="5"/>
  <c r="Q112" i="5"/>
  <c r="Q113" i="5"/>
  <c r="Q114" i="5"/>
  <c r="Q115" i="5"/>
  <c r="Q116" i="5"/>
  <c r="Q117" i="5"/>
  <c r="Q118" i="5"/>
  <c r="P111" i="5"/>
  <c r="P112" i="5"/>
  <c r="P113" i="5"/>
  <c r="P114" i="5"/>
  <c r="P115" i="5"/>
  <c r="P116" i="5"/>
  <c r="P117" i="5"/>
  <c r="P118" i="5"/>
  <c r="E119" i="5"/>
  <c r="F119" i="5"/>
  <c r="G119" i="5"/>
  <c r="H119" i="5"/>
  <c r="I119" i="5"/>
  <c r="J119" i="5"/>
  <c r="K119" i="5"/>
  <c r="L119" i="5"/>
  <c r="M119" i="5"/>
  <c r="N119" i="5"/>
  <c r="O119" i="5"/>
  <c r="Q110" i="5"/>
  <c r="D120" i="5"/>
  <c r="P110" i="5"/>
  <c r="D119" i="5"/>
  <c r="Q96" i="5"/>
  <c r="Q97" i="5"/>
  <c r="Q98" i="5"/>
  <c r="Q99" i="5"/>
  <c r="Q100" i="5"/>
  <c r="Q101" i="5"/>
  <c r="Q102" i="5"/>
  <c r="Q103" i="5"/>
  <c r="Q95" i="5"/>
  <c r="E105" i="5"/>
  <c r="F105" i="5"/>
  <c r="G105" i="5"/>
  <c r="H105" i="5"/>
  <c r="I105" i="5"/>
  <c r="J105" i="5"/>
  <c r="K105" i="5"/>
  <c r="L105" i="5"/>
  <c r="M105" i="5"/>
  <c r="N105" i="5"/>
  <c r="O105" i="5"/>
  <c r="D105" i="5"/>
  <c r="P96" i="5"/>
  <c r="P97" i="5"/>
  <c r="P98" i="5"/>
  <c r="P99" i="5"/>
  <c r="P100" i="5"/>
  <c r="P101" i="5"/>
  <c r="P102" i="5"/>
  <c r="P103" i="5"/>
  <c r="E104" i="5"/>
  <c r="F104" i="5"/>
  <c r="G104" i="5"/>
  <c r="H104" i="5"/>
  <c r="I104" i="5"/>
  <c r="J104" i="5"/>
  <c r="K104" i="5"/>
  <c r="L104" i="5"/>
  <c r="M104" i="5"/>
  <c r="N104" i="5"/>
  <c r="O104" i="5"/>
  <c r="P95" i="5"/>
  <c r="D104" i="5"/>
  <c r="Q81" i="5"/>
  <c r="Q82" i="5"/>
  <c r="Q83" i="5"/>
  <c r="Q84" i="5"/>
  <c r="Q85" i="5"/>
  <c r="Q86" i="5"/>
  <c r="Q87" i="5"/>
  <c r="Q88" i="5"/>
  <c r="Q80" i="5"/>
  <c r="P81" i="5"/>
  <c r="P82" i="5"/>
  <c r="P83" i="5"/>
  <c r="P84" i="5"/>
  <c r="P85" i="5"/>
  <c r="P86" i="5"/>
  <c r="P87" i="5"/>
  <c r="P88" i="5"/>
  <c r="P80" i="5"/>
  <c r="E90" i="5"/>
  <c r="F90" i="5"/>
  <c r="G90" i="5"/>
  <c r="H90" i="5"/>
  <c r="I90" i="5"/>
  <c r="J90" i="5"/>
  <c r="K90" i="5"/>
  <c r="L90" i="5"/>
  <c r="M90" i="5"/>
  <c r="N90" i="5"/>
  <c r="O90" i="5"/>
  <c r="D90" i="5"/>
  <c r="E89" i="5"/>
  <c r="F89" i="5"/>
  <c r="G89" i="5"/>
  <c r="H89" i="5"/>
  <c r="I89" i="5"/>
  <c r="J89" i="5"/>
  <c r="K89" i="5"/>
  <c r="L89" i="5"/>
  <c r="M89" i="5"/>
  <c r="N89" i="5"/>
  <c r="O89" i="5"/>
  <c r="D89" i="5"/>
  <c r="Q66" i="5"/>
  <c r="Q67" i="5"/>
  <c r="Q68" i="5"/>
  <c r="Q69" i="5"/>
  <c r="Q70" i="5"/>
  <c r="Q71" i="5"/>
  <c r="Q72" i="5"/>
  <c r="Q73" i="5"/>
  <c r="Q65" i="5"/>
  <c r="E75" i="5"/>
  <c r="F75" i="5"/>
  <c r="G75" i="5"/>
  <c r="H75" i="5"/>
  <c r="I75" i="5"/>
  <c r="J75" i="5"/>
  <c r="K75" i="5"/>
  <c r="L75" i="5"/>
  <c r="M75" i="5"/>
  <c r="N75" i="5"/>
  <c r="O75" i="5"/>
  <c r="D75" i="5"/>
  <c r="P66" i="5"/>
  <c r="P67" i="5"/>
  <c r="P68" i="5"/>
  <c r="P69" i="5"/>
  <c r="P70" i="5"/>
  <c r="P71" i="5"/>
  <c r="P72" i="5"/>
  <c r="P73" i="5"/>
  <c r="P65" i="5"/>
  <c r="E74" i="5"/>
  <c r="F74" i="5"/>
  <c r="G74" i="5"/>
  <c r="H74" i="5"/>
  <c r="I74" i="5"/>
  <c r="J74" i="5"/>
  <c r="K74" i="5"/>
  <c r="L74" i="5"/>
  <c r="M74" i="5"/>
  <c r="N74" i="5"/>
  <c r="O74" i="5"/>
  <c r="D74" i="5"/>
  <c r="E60" i="5"/>
  <c r="F60" i="5"/>
  <c r="G60" i="5"/>
  <c r="H60" i="5"/>
  <c r="I60" i="5"/>
  <c r="J60" i="5"/>
  <c r="K60" i="5"/>
  <c r="L60" i="5"/>
  <c r="M60" i="5"/>
  <c r="N60" i="5"/>
  <c r="O60" i="5"/>
  <c r="D60" i="5"/>
  <c r="Q51" i="5"/>
  <c r="Q52" i="5"/>
  <c r="Q53" i="5"/>
  <c r="Q54" i="5"/>
  <c r="Q55" i="5"/>
  <c r="Q56" i="5"/>
  <c r="Q57" i="5"/>
  <c r="Q58" i="5"/>
  <c r="Q50" i="5"/>
  <c r="P51" i="5"/>
  <c r="P52" i="5"/>
  <c r="P53" i="5"/>
  <c r="P54" i="5"/>
  <c r="P55" i="5"/>
  <c r="P56" i="5"/>
  <c r="P57" i="5"/>
  <c r="P58" i="5"/>
  <c r="P50" i="5"/>
  <c r="E59" i="5"/>
  <c r="F59" i="5"/>
  <c r="G59" i="5"/>
  <c r="H59" i="5"/>
  <c r="I59" i="5"/>
  <c r="J59" i="5"/>
  <c r="K59" i="5"/>
  <c r="L59" i="5"/>
  <c r="M59" i="5"/>
  <c r="N59" i="5"/>
  <c r="O59" i="5"/>
  <c r="D59" i="5"/>
  <c r="E45" i="5"/>
  <c r="F45" i="5"/>
  <c r="G45" i="5"/>
  <c r="H45" i="5"/>
  <c r="I45" i="5"/>
  <c r="J45" i="5"/>
  <c r="K45" i="5"/>
  <c r="L45" i="5"/>
  <c r="M45" i="5"/>
  <c r="N45" i="5"/>
  <c r="O45" i="5"/>
  <c r="D45" i="5"/>
  <c r="P36" i="5"/>
  <c r="Q36" i="5" s="1"/>
  <c r="P37" i="5"/>
  <c r="Q37" i="5" s="1"/>
  <c r="P38" i="5"/>
  <c r="Q38" i="5" s="1"/>
  <c r="P39" i="5"/>
  <c r="Q39" i="5" s="1"/>
  <c r="P40" i="5"/>
  <c r="Q40" i="5" s="1"/>
  <c r="P41" i="5"/>
  <c r="Q41" i="5" s="1"/>
  <c r="P42" i="5"/>
  <c r="Q42" i="5" s="1"/>
  <c r="P43" i="5"/>
  <c r="Q43" i="5" s="1"/>
  <c r="P35" i="5"/>
  <c r="Q35" i="5" s="1"/>
  <c r="E44" i="5"/>
  <c r="F44" i="5"/>
  <c r="G44" i="5"/>
  <c r="H44" i="5"/>
  <c r="I44" i="5"/>
  <c r="J44" i="5"/>
  <c r="K44" i="5"/>
  <c r="L44" i="5"/>
  <c r="M44" i="5"/>
  <c r="N44" i="5"/>
  <c r="O44" i="5"/>
  <c r="D44" i="5"/>
  <c r="E30" i="5"/>
  <c r="F30" i="5"/>
  <c r="G30" i="5"/>
  <c r="H30" i="5"/>
  <c r="I30" i="5"/>
  <c r="J30" i="5"/>
  <c r="K30" i="5"/>
  <c r="L30" i="5"/>
  <c r="M30" i="5"/>
  <c r="N30" i="5"/>
  <c r="O30" i="5"/>
  <c r="D30" i="5"/>
  <c r="Q21" i="5"/>
  <c r="Q22" i="5"/>
  <c r="Q23" i="5"/>
  <c r="Q24" i="5"/>
  <c r="Q25" i="5"/>
  <c r="Q26" i="5"/>
  <c r="Q27" i="5"/>
  <c r="Q28" i="5"/>
  <c r="P21" i="5"/>
  <c r="P22" i="5"/>
  <c r="P23" i="5"/>
  <c r="P24" i="5"/>
  <c r="P25" i="5"/>
  <c r="P26" i="5"/>
  <c r="P27" i="5"/>
  <c r="P28" i="5"/>
  <c r="P20" i="5"/>
  <c r="E29" i="5"/>
  <c r="F29" i="5"/>
  <c r="G29" i="5"/>
  <c r="H29" i="5"/>
  <c r="I29" i="5"/>
  <c r="J29" i="5"/>
  <c r="K29" i="5"/>
  <c r="L29" i="5"/>
  <c r="M29" i="5"/>
  <c r="N29" i="5"/>
  <c r="O29" i="5"/>
  <c r="D29" i="5"/>
  <c r="E15" i="5"/>
  <c r="F15" i="5"/>
  <c r="G15" i="5"/>
  <c r="H15" i="5"/>
  <c r="I15" i="5"/>
  <c r="J15" i="5"/>
  <c r="K15" i="5"/>
  <c r="L15" i="5"/>
  <c r="M15" i="5"/>
  <c r="N15" i="5"/>
  <c r="O15" i="5"/>
  <c r="D15" i="5"/>
  <c r="Q6" i="5"/>
  <c r="Q7" i="5"/>
  <c r="Q8" i="5"/>
  <c r="Q9" i="5"/>
  <c r="Q10" i="5"/>
  <c r="Q11" i="5"/>
  <c r="Q12" i="5"/>
  <c r="Q13" i="5"/>
  <c r="Q5" i="5"/>
  <c r="E14" i="5"/>
  <c r="F14" i="5"/>
  <c r="G14" i="5"/>
  <c r="H14" i="5"/>
  <c r="I14" i="5"/>
  <c r="J14" i="5"/>
  <c r="K14" i="5"/>
  <c r="L14" i="5"/>
  <c r="M14" i="5"/>
  <c r="N14" i="5"/>
  <c r="O14" i="5"/>
  <c r="D14" i="5"/>
  <c r="P6" i="5"/>
  <c r="P7" i="5"/>
  <c r="P8" i="5"/>
  <c r="P9" i="5"/>
  <c r="P10" i="5"/>
  <c r="P11" i="5"/>
  <c r="P12" i="5"/>
  <c r="P13" i="5"/>
  <c r="P5" i="5"/>
  <c r="AG7" i="1"/>
  <c r="P59" i="6" l="1"/>
  <c r="P14" i="6"/>
  <c r="P74" i="6"/>
  <c r="P29" i="6"/>
  <c r="P44" i="6"/>
  <c r="P104" i="6"/>
  <c r="P89" i="6"/>
  <c r="P14" i="5"/>
  <c r="P59" i="5"/>
  <c r="P44" i="5"/>
  <c r="P89" i="5"/>
  <c r="P29" i="5"/>
  <c r="P134" i="5"/>
  <c r="P104" i="5"/>
  <c r="P119" i="5"/>
  <c r="P74" i="5"/>
  <c r="P31" i="2"/>
  <c r="P15" i="2"/>
  <c r="P143" i="2"/>
  <c r="P47" i="2"/>
  <c r="P63" i="2"/>
  <c r="P79" i="2"/>
  <c r="P95" i="2"/>
  <c r="P111" i="2"/>
  <c r="P127" i="2"/>
  <c r="P31" i="4"/>
  <c r="P95" i="4"/>
  <c r="P63" i="4"/>
  <c r="P111" i="4"/>
  <c r="P15" i="4"/>
  <c r="P47" i="4"/>
  <c r="P79" i="4"/>
  <c r="Q134" i="2"/>
  <c r="Q135" i="2"/>
  <c r="Q136" i="2"/>
  <c r="Q137" i="2"/>
  <c r="Q138" i="2"/>
  <c r="Q139" i="2"/>
  <c r="Q140" i="2"/>
  <c r="Q141" i="2"/>
  <c r="Q142" i="2"/>
  <c r="Q118" i="2"/>
  <c r="Q119" i="2"/>
  <c r="Q120" i="2"/>
  <c r="Q121" i="2"/>
  <c r="Q122" i="2"/>
  <c r="Q123" i="2"/>
  <c r="Q124" i="2"/>
  <c r="Q125" i="2"/>
  <c r="Q126" i="2"/>
  <c r="Q102" i="2"/>
  <c r="Q103" i="2"/>
  <c r="Q104" i="2"/>
  <c r="Q105" i="2"/>
  <c r="Q106" i="2"/>
  <c r="Q107" i="2"/>
  <c r="Q108" i="2"/>
  <c r="Q109" i="2"/>
  <c r="Q110" i="2"/>
  <c r="Q86" i="2"/>
  <c r="Q94" i="2"/>
  <c r="Q87" i="2"/>
  <c r="Q88" i="2"/>
  <c r="Q89" i="2"/>
  <c r="Q90" i="2"/>
  <c r="Q91" i="2"/>
  <c r="Q92" i="2"/>
  <c r="Q93" i="2"/>
  <c r="Q70" i="2"/>
  <c r="Q71" i="2"/>
  <c r="Q72" i="2"/>
  <c r="Q73" i="2"/>
  <c r="Q74" i="2"/>
  <c r="Q75" i="2"/>
  <c r="Q76" i="2"/>
  <c r="Q77" i="2"/>
  <c r="Q78" i="2"/>
  <c r="Q54" i="2"/>
  <c r="Q55" i="2"/>
  <c r="Q56" i="2"/>
  <c r="Q57" i="2"/>
  <c r="Q58" i="2"/>
  <c r="Q59" i="2"/>
  <c r="Q60" i="2"/>
  <c r="Q61" i="2"/>
  <c r="Q62" i="2"/>
  <c r="Q38" i="2"/>
  <c r="Q39" i="2"/>
  <c r="Q40" i="2"/>
  <c r="Q41" i="2"/>
  <c r="Q42" i="2"/>
  <c r="Q43" i="2"/>
  <c r="Q44" i="2"/>
  <c r="Q45" i="2"/>
  <c r="Q46" i="2"/>
  <c r="Q22" i="2"/>
  <c r="Q23" i="2"/>
  <c r="Q24" i="2"/>
  <c r="Q25" i="2"/>
  <c r="Q26" i="2"/>
  <c r="Q27" i="2"/>
  <c r="Q28" i="2"/>
  <c r="Q29" i="2"/>
  <c r="Q30" i="2"/>
  <c r="Q6" i="2"/>
  <c r="Q7" i="2"/>
  <c r="Q8" i="2"/>
  <c r="Q9" i="2"/>
  <c r="Q10" i="2"/>
  <c r="Q11" i="2"/>
  <c r="Q12" i="2"/>
  <c r="Q13" i="2"/>
  <c r="Q14" i="2"/>
  <c r="AK87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R87" i="1"/>
  <c r="AQ87" i="1"/>
  <c r="AP87" i="1"/>
  <c r="AO87" i="1"/>
  <c r="AN87" i="1"/>
  <c r="AM87" i="1"/>
  <c r="AL87" i="1"/>
  <c r="AJ87" i="1"/>
  <c r="AI87" i="1"/>
  <c r="AH87" i="1"/>
  <c r="AG87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R23" i="1"/>
  <c r="AQ23" i="1"/>
  <c r="AP23" i="1"/>
  <c r="AO23" i="1"/>
  <c r="AN23" i="1"/>
  <c r="AM23" i="1"/>
  <c r="AL23" i="1"/>
  <c r="AK23" i="1"/>
  <c r="AJ23" i="1"/>
  <c r="AI23" i="1"/>
  <c r="AH23" i="1"/>
  <c r="AR7" i="1"/>
  <c r="AQ7" i="1"/>
  <c r="AP7" i="1"/>
  <c r="AO7" i="1"/>
  <c r="AN7" i="1"/>
  <c r="AM7" i="1"/>
  <c r="AL7" i="1"/>
  <c r="AK7" i="1"/>
  <c r="AJ7" i="1"/>
  <c r="AI7" i="1"/>
  <c r="AH7" i="1"/>
  <c r="AG8" i="1"/>
  <c r="AG9" i="1"/>
  <c r="AR111" i="1"/>
  <c r="AR110" i="1"/>
  <c r="AR109" i="1"/>
  <c r="AR108" i="1"/>
  <c r="AR107" i="1"/>
  <c r="AR106" i="1"/>
  <c r="AR105" i="1"/>
  <c r="AR104" i="1"/>
  <c r="AQ111" i="1"/>
  <c r="AQ110" i="1"/>
  <c r="AQ109" i="1"/>
  <c r="AQ108" i="1"/>
  <c r="AQ107" i="1"/>
  <c r="AQ106" i="1"/>
  <c r="AQ105" i="1"/>
  <c r="AQ104" i="1"/>
  <c r="AP111" i="1"/>
  <c r="AP110" i="1"/>
  <c r="AP109" i="1"/>
  <c r="AP108" i="1"/>
  <c r="AP107" i="1"/>
  <c r="AP106" i="1"/>
  <c r="AP105" i="1"/>
  <c r="AP104" i="1"/>
  <c r="AO111" i="1"/>
  <c r="AO110" i="1"/>
  <c r="AO109" i="1"/>
  <c r="AO108" i="1"/>
  <c r="AO107" i="1"/>
  <c r="AO106" i="1"/>
  <c r="AO105" i="1"/>
  <c r="AO104" i="1"/>
  <c r="AN111" i="1"/>
  <c r="AN110" i="1"/>
  <c r="AN109" i="1"/>
  <c r="AN108" i="1"/>
  <c r="AN107" i="1"/>
  <c r="AN106" i="1"/>
  <c r="AN105" i="1"/>
  <c r="AN104" i="1"/>
  <c r="AM111" i="1"/>
  <c r="AM110" i="1"/>
  <c r="AM109" i="1"/>
  <c r="AM108" i="1"/>
  <c r="AM107" i="1"/>
  <c r="AM106" i="1"/>
  <c r="AM105" i="1"/>
  <c r="AM104" i="1"/>
  <c r="AL110" i="1"/>
  <c r="AL109" i="1"/>
  <c r="AL111" i="1"/>
  <c r="AL108" i="1"/>
  <c r="AL107" i="1"/>
  <c r="AL106" i="1"/>
  <c r="AL105" i="1"/>
  <c r="AL104" i="1"/>
  <c r="AK111" i="1"/>
  <c r="AK110" i="1"/>
  <c r="AK109" i="1"/>
  <c r="AK108" i="1"/>
  <c r="AK107" i="1"/>
  <c r="AK106" i="1"/>
  <c r="AK105" i="1"/>
  <c r="AK104" i="1"/>
  <c r="AJ111" i="1"/>
  <c r="AJ110" i="1"/>
  <c r="AJ109" i="1"/>
  <c r="AJ108" i="1"/>
  <c r="AJ107" i="1"/>
  <c r="AJ106" i="1"/>
  <c r="AJ105" i="1"/>
  <c r="AJ104" i="1"/>
  <c r="AI111" i="1"/>
  <c r="AI110" i="1"/>
  <c r="AI109" i="1"/>
  <c r="AI108" i="1"/>
  <c r="AI107" i="1"/>
  <c r="AI106" i="1"/>
  <c r="AI105" i="1"/>
  <c r="AI104" i="1"/>
  <c r="AH108" i="1"/>
  <c r="AH111" i="1"/>
  <c r="AH110" i="1"/>
  <c r="AH109" i="1"/>
  <c r="AH107" i="1"/>
  <c r="AH106" i="1"/>
  <c r="AH105" i="1"/>
  <c r="AH104" i="1"/>
  <c r="AG111" i="1"/>
  <c r="AG110" i="1"/>
  <c r="AG109" i="1"/>
  <c r="AG108" i="1"/>
  <c r="AG107" i="1"/>
  <c r="AG106" i="1"/>
  <c r="AG105" i="1"/>
  <c r="AG104" i="1"/>
  <c r="AR95" i="1"/>
  <c r="AR94" i="1"/>
  <c r="AR93" i="1"/>
  <c r="AR92" i="1"/>
  <c r="AR91" i="1"/>
  <c r="AR90" i="1"/>
  <c r="AR89" i="1"/>
  <c r="AR88" i="1"/>
  <c r="AQ94" i="1"/>
  <c r="AQ95" i="1"/>
  <c r="AQ93" i="1"/>
  <c r="AQ92" i="1"/>
  <c r="AQ91" i="1"/>
  <c r="AQ90" i="1"/>
  <c r="AQ89" i="1"/>
  <c r="AQ88" i="1"/>
  <c r="AP93" i="1"/>
  <c r="AP95" i="1"/>
  <c r="AP94" i="1"/>
  <c r="AP92" i="1"/>
  <c r="AP91" i="1"/>
  <c r="AP90" i="1"/>
  <c r="AP89" i="1"/>
  <c r="AP88" i="1"/>
  <c r="AO91" i="1"/>
  <c r="AO95" i="1"/>
  <c r="AO94" i="1"/>
  <c r="AO93" i="1"/>
  <c r="AO92" i="1"/>
  <c r="AO90" i="1"/>
  <c r="AO89" i="1"/>
  <c r="AO88" i="1"/>
  <c r="AN95" i="1"/>
  <c r="AN94" i="1"/>
  <c r="AN93" i="1"/>
  <c r="AN92" i="1"/>
  <c r="AN91" i="1"/>
  <c r="AN90" i="1"/>
  <c r="AN89" i="1"/>
  <c r="AN88" i="1"/>
  <c r="AM95" i="1"/>
  <c r="AM94" i="1"/>
  <c r="AM93" i="1"/>
  <c r="AM92" i="1"/>
  <c r="AM91" i="1"/>
  <c r="AM90" i="1"/>
  <c r="AM89" i="1"/>
  <c r="AM88" i="1"/>
  <c r="AL91" i="1"/>
  <c r="AL95" i="1"/>
  <c r="AL94" i="1"/>
  <c r="AL93" i="1"/>
  <c r="AL92" i="1"/>
  <c r="AL90" i="1"/>
  <c r="AL89" i="1"/>
  <c r="AL88" i="1"/>
  <c r="AK95" i="1"/>
  <c r="AK94" i="1"/>
  <c r="AK93" i="1"/>
  <c r="AK92" i="1"/>
  <c r="AK91" i="1"/>
  <c r="AK90" i="1"/>
  <c r="AK89" i="1"/>
  <c r="AK88" i="1"/>
  <c r="AJ95" i="1"/>
  <c r="AJ94" i="1"/>
  <c r="AJ93" i="1"/>
  <c r="AJ92" i="1"/>
  <c r="AJ91" i="1"/>
  <c r="AJ90" i="1"/>
  <c r="AJ89" i="1"/>
  <c r="AJ88" i="1"/>
  <c r="AI95" i="1"/>
  <c r="AI94" i="1"/>
  <c r="AI93" i="1"/>
  <c r="AI92" i="1"/>
  <c r="AI91" i="1"/>
  <c r="AI90" i="1"/>
  <c r="AI89" i="1"/>
  <c r="AI88" i="1"/>
  <c r="AH95" i="1"/>
  <c r="AH94" i="1"/>
  <c r="AH93" i="1"/>
  <c r="AH92" i="1"/>
  <c r="AH91" i="1"/>
  <c r="AH90" i="1"/>
  <c r="AH89" i="1"/>
  <c r="AH88" i="1"/>
  <c r="AG95" i="1"/>
  <c r="AG94" i="1"/>
  <c r="AG93" i="1"/>
  <c r="AG92" i="1"/>
  <c r="AG91" i="1"/>
  <c r="AG90" i="1"/>
  <c r="AG89" i="1"/>
  <c r="AG88" i="1"/>
  <c r="AR78" i="1"/>
  <c r="AR79" i="1"/>
  <c r="AR77" i="1"/>
  <c r="AR76" i="1"/>
  <c r="AR75" i="1"/>
  <c r="AR74" i="1"/>
  <c r="AR73" i="1"/>
  <c r="AR72" i="1"/>
  <c r="AQ79" i="1"/>
  <c r="AQ78" i="1"/>
  <c r="AQ77" i="1"/>
  <c r="AQ76" i="1"/>
  <c r="AQ75" i="1"/>
  <c r="AQ74" i="1"/>
  <c r="AQ73" i="1"/>
  <c r="AQ72" i="1"/>
  <c r="AP79" i="1"/>
  <c r="AP78" i="1"/>
  <c r="AP77" i="1"/>
  <c r="AP76" i="1"/>
  <c r="AP75" i="1"/>
  <c r="AP74" i="1"/>
  <c r="AP73" i="1"/>
  <c r="AP72" i="1"/>
  <c r="AO79" i="1"/>
  <c r="AO78" i="1"/>
  <c r="AO77" i="1"/>
  <c r="AO76" i="1"/>
  <c r="AO75" i="1"/>
  <c r="AO74" i="1"/>
  <c r="AO73" i="1"/>
  <c r="AO72" i="1"/>
  <c r="AN79" i="1"/>
  <c r="AN78" i="1"/>
  <c r="AN77" i="1"/>
  <c r="AN76" i="1"/>
  <c r="AN75" i="1"/>
  <c r="AN74" i="1"/>
  <c r="AN73" i="1"/>
  <c r="AN72" i="1"/>
  <c r="AM79" i="1"/>
  <c r="AM78" i="1"/>
  <c r="AM77" i="1"/>
  <c r="AM76" i="1"/>
  <c r="AM75" i="1"/>
  <c r="AM74" i="1"/>
  <c r="AM73" i="1"/>
  <c r="AM72" i="1"/>
  <c r="AL79" i="1"/>
  <c r="AL78" i="1"/>
  <c r="AL77" i="1"/>
  <c r="AL76" i="1"/>
  <c r="AL75" i="1"/>
  <c r="AL74" i="1"/>
  <c r="AL73" i="1"/>
  <c r="AL72" i="1"/>
  <c r="AK79" i="1"/>
  <c r="AK78" i="1"/>
  <c r="AK77" i="1"/>
  <c r="AK76" i="1"/>
  <c r="AK75" i="1"/>
  <c r="AK74" i="1"/>
  <c r="AK73" i="1"/>
  <c r="AK72" i="1"/>
  <c r="AJ79" i="1"/>
  <c r="AJ78" i="1"/>
  <c r="AJ77" i="1"/>
  <c r="AJ76" i="1"/>
  <c r="AJ75" i="1"/>
  <c r="AJ74" i="1"/>
  <c r="AJ73" i="1"/>
  <c r="AJ72" i="1"/>
  <c r="AI79" i="1"/>
  <c r="AI78" i="1"/>
  <c r="AI77" i="1"/>
  <c r="AI76" i="1"/>
  <c r="AI75" i="1"/>
  <c r="AI74" i="1"/>
  <c r="AI73" i="1"/>
  <c r="AI72" i="1"/>
  <c r="AH79" i="1"/>
  <c r="AH78" i="1"/>
  <c r="AH77" i="1"/>
  <c r="AH76" i="1"/>
  <c r="AH75" i="1"/>
  <c r="AH74" i="1"/>
  <c r="AH73" i="1"/>
  <c r="AH72" i="1"/>
  <c r="AG79" i="1"/>
  <c r="AG78" i="1"/>
  <c r="AG77" i="1"/>
  <c r="AG76" i="1"/>
  <c r="AG75" i="1"/>
  <c r="AG74" i="1"/>
  <c r="AG73" i="1"/>
  <c r="AG72" i="1"/>
  <c r="AR63" i="1"/>
  <c r="AR62" i="1"/>
  <c r="AR61" i="1"/>
  <c r="AR60" i="1"/>
  <c r="AR59" i="1"/>
  <c r="AR58" i="1"/>
  <c r="AR57" i="1"/>
  <c r="AR56" i="1"/>
  <c r="AQ63" i="1"/>
  <c r="AQ62" i="1"/>
  <c r="AQ61" i="1"/>
  <c r="AQ60" i="1"/>
  <c r="AQ59" i="1"/>
  <c r="AQ58" i="1"/>
  <c r="AQ57" i="1"/>
  <c r="AQ56" i="1"/>
  <c r="AP63" i="1"/>
  <c r="AP62" i="1"/>
  <c r="AP61" i="1"/>
  <c r="AP60" i="1"/>
  <c r="AP59" i="1"/>
  <c r="AP58" i="1"/>
  <c r="AP57" i="1"/>
  <c r="AP56" i="1"/>
  <c r="AO63" i="1"/>
  <c r="AO62" i="1"/>
  <c r="AO61" i="1"/>
  <c r="AO60" i="1"/>
  <c r="AO59" i="1"/>
  <c r="AO58" i="1"/>
  <c r="AO57" i="1"/>
  <c r="AO56" i="1"/>
  <c r="AN63" i="1"/>
  <c r="AN62" i="1"/>
  <c r="AN61" i="1"/>
  <c r="AN60" i="1"/>
  <c r="AN59" i="1"/>
  <c r="AN58" i="1"/>
  <c r="AN57" i="1"/>
  <c r="AN56" i="1"/>
  <c r="AM63" i="1"/>
  <c r="AM62" i="1"/>
  <c r="AM61" i="1"/>
  <c r="AM60" i="1"/>
  <c r="AM59" i="1"/>
  <c r="AM58" i="1"/>
  <c r="AM56" i="1"/>
  <c r="AM57" i="1"/>
  <c r="AL63" i="1"/>
  <c r="AL62" i="1"/>
  <c r="AL61" i="1"/>
  <c r="AL60" i="1"/>
  <c r="AL59" i="1"/>
  <c r="AL58" i="1"/>
  <c r="AL57" i="1"/>
  <c r="AL56" i="1"/>
  <c r="AK63" i="1"/>
  <c r="AK62" i="1"/>
  <c r="AK61" i="1"/>
  <c r="AK60" i="1"/>
  <c r="AK59" i="1"/>
  <c r="AK58" i="1"/>
  <c r="AK57" i="1"/>
  <c r="AK56" i="1"/>
  <c r="AJ63" i="1"/>
  <c r="AJ62" i="1"/>
  <c r="AJ61" i="1"/>
  <c r="AJ60" i="1"/>
  <c r="AJ59" i="1"/>
  <c r="AJ58" i="1"/>
  <c r="AJ57" i="1"/>
  <c r="AJ56" i="1"/>
  <c r="AI63" i="1"/>
  <c r="AI62" i="1"/>
  <c r="AI61" i="1"/>
  <c r="AI60" i="1"/>
  <c r="AI59" i="1"/>
  <c r="AI58" i="1"/>
  <c r="AI57" i="1"/>
  <c r="AI56" i="1"/>
  <c r="AH63" i="1"/>
  <c r="AH62" i="1"/>
  <c r="AH61" i="1"/>
  <c r="AH60" i="1"/>
  <c r="AH59" i="1"/>
  <c r="AH58" i="1"/>
  <c r="AH57" i="1"/>
  <c r="AH56" i="1"/>
  <c r="AG62" i="1"/>
  <c r="AG61" i="1"/>
  <c r="AG60" i="1"/>
  <c r="AG59" i="1"/>
  <c r="AG58" i="1"/>
  <c r="AG63" i="1"/>
  <c r="AG56" i="1"/>
  <c r="AG57" i="1"/>
  <c r="AG47" i="1"/>
  <c r="AR46" i="1"/>
  <c r="AR45" i="1"/>
  <c r="AR44" i="1"/>
  <c r="AR43" i="1"/>
  <c r="AR42" i="1"/>
  <c r="AR47" i="1"/>
  <c r="AR41" i="1"/>
  <c r="AR40" i="1"/>
  <c r="AQ47" i="1"/>
  <c r="AQ46" i="1"/>
  <c r="AQ45" i="1"/>
  <c r="AQ44" i="1"/>
  <c r="AQ43" i="1"/>
  <c r="AQ42" i="1"/>
  <c r="AQ41" i="1"/>
  <c r="AQ40" i="1"/>
  <c r="AP47" i="1"/>
  <c r="AP46" i="1"/>
  <c r="AP45" i="1"/>
  <c r="AP44" i="1"/>
  <c r="AP43" i="1"/>
  <c r="AP42" i="1"/>
  <c r="AP41" i="1"/>
  <c r="AP40" i="1"/>
  <c r="AO47" i="1"/>
  <c r="AO46" i="1"/>
  <c r="AO45" i="1"/>
  <c r="AO44" i="1"/>
  <c r="AO43" i="1"/>
  <c r="AO42" i="1"/>
  <c r="AO41" i="1"/>
  <c r="AO40" i="1"/>
  <c r="AN45" i="1"/>
  <c r="AN44" i="1"/>
  <c r="AN43" i="1"/>
  <c r="AN42" i="1"/>
  <c r="AN41" i="1"/>
  <c r="AN46" i="1"/>
  <c r="AN47" i="1"/>
  <c r="AN40" i="1"/>
  <c r="AM47" i="1"/>
  <c r="AM46" i="1"/>
  <c r="AM45" i="1"/>
  <c r="AM44" i="1"/>
  <c r="AM43" i="1"/>
  <c r="AM42" i="1"/>
  <c r="AM41" i="1"/>
  <c r="AM40" i="1"/>
  <c r="AL47" i="1"/>
  <c r="AL46" i="1"/>
  <c r="AL45" i="1"/>
  <c r="AL44" i="1"/>
  <c r="AL43" i="1"/>
  <c r="AL42" i="1"/>
  <c r="AL41" i="1"/>
  <c r="AL40" i="1"/>
  <c r="AK47" i="1"/>
  <c r="AK46" i="1"/>
  <c r="AK45" i="1"/>
  <c r="AK44" i="1"/>
  <c r="AK43" i="1"/>
  <c r="AK42" i="1"/>
  <c r="AK41" i="1"/>
  <c r="AK40" i="1"/>
  <c r="AJ47" i="1"/>
  <c r="AJ46" i="1"/>
  <c r="AJ45" i="1"/>
  <c r="AJ44" i="1"/>
  <c r="AJ43" i="1"/>
  <c r="AJ42" i="1"/>
  <c r="AJ41" i="1"/>
  <c r="AJ40" i="1"/>
  <c r="AI47" i="1"/>
  <c r="AI46" i="1"/>
  <c r="AI45" i="1"/>
  <c r="AI44" i="1"/>
  <c r="AI43" i="1"/>
  <c r="AI42" i="1"/>
  <c r="AI41" i="1"/>
  <c r="AI40" i="1"/>
  <c r="AH47" i="1"/>
  <c r="AH46" i="1"/>
  <c r="AH45" i="1"/>
  <c r="AH44" i="1"/>
  <c r="AH43" i="1"/>
  <c r="AH42" i="1"/>
  <c r="AH41" i="1"/>
  <c r="AH40" i="1"/>
  <c r="AG46" i="1"/>
  <c r="AG45" i="1"/>
  <c r="AG44" i="1"/>
  <c r="AG43" i="1"/>
  <c r="AG42" i="1"/>
  <c r="AG41" i="1"/>
  <c r="AG40" i="1"/>
  <c r="AR31" i="1"/>
  <c r="AR30" i="1"/>
  <c r="AR29" i="1"/>
  <c r="AR28" i="1"/>
  <c r="AR27" i="1"/>
  <c r="AR26" i="1"/>
  <c r="AR25" i="1"/>
  <c r="AR24" i="1"/>
  <c r="AQ29" i="1"/>
  <c r="AQ31" i="1"/>
  <c r="AQ30" i="1"/>
  <c r="AQ28" i="1"/>
  <c r="AQ27" i="1"/>
  <c r="AQ26" i="1"/>
  <c r="AQ25" i="1"/>
  <c r="AQ24" i="1"/>
  <c r="AP31" i="1"/>
  <c r="AP30" i="1"/>
  <c r="AP29" i="1"/>
  <c r="AP28" i="1"/>
  <c r="AP27" i="1"/>
  <c r="AP26" i="1"/>
  <c r="AP25" i="1"/>
  <c r="AP24" i="1"/>
  <c r="AO31" i="1"/>
  <c r="AO30" i="1"/>
  <c r="AO29" i="1"/>
  <c r="AO28" i="1"/>
  <c r="AO27" i="1"/>
  <c r="AO26" i="1"/>
  <c r="AO25" i="1"/>
  <c r="AO24" i="1"/>
  <c r="AN31" i="1"/>
  <c r="AN30" i="1"/>
  <c r="AN29" i="1"/>
  <c r="AN28" i="1"/>
  <c r="AN27" i="1"/>
  <c r="AN26" i="1"/>
  <c r="AN25" i="1"/>
  <c r="AN24" i="1"/>
  <c r="AM31" i="1"/>
  <c r="AM30" i="1"/>
  <c r="AM29" i="1"/>
  <c r="AM28" i="1"/>
  <c r="AM27" i="1"/>
  <c r="AM26" i="1"/>
  <c r="AM25" i="1"/>
  <c r="AM24" i="1"/>
  <c r="AL31" i="1"/>
  <c r="AL30" i="1"/>
  <c r="AL29" i="1"/>
  <c r="AL28" i="1"/>
  <c r="AL27" i="1"/>
  <c r="AL26" i="1"/>
  <c r="AL25" i="1"/>
  <c r="AL24" i="1"/>
  <c r="AK31" i="1"/>
  <c r="AK30" i="1"/>
  <c r="AK29" i="1"/>
  <c r="AK28" i="1"/>
  <c r="AK27" i="1"/>
  <c r="AK26" i="1"/>
  <c r="AK25" i="1"/>
  <c r="AK24" i="1"/>
  <c r="AJ31" i="1"/>
  <c r="AJ30" i="1"/>
  <c r="AJ29" i="1"/>
  <c r="AJ28" i="1"/>
  <c r="AJ27" i="1"/>
  <c r="AJ26" i="1"/>
  <c r="AJ25" i="1"/>
  <c r="AJ24" i="1"/>
  <c r="AI31" i="1"/>
  <c r="AI30" i="1"/>
  <c r="AI29" i="1"/>
  <c r="AI28" i="1"/>
  <c r="AI27" i="1"/>
  <c r="AI26" i="1"/>
  <c r="AI25" i="1"/>
  <c r="AI24" i="1"/>
  <c r="AH31" i="1"/>
  <c r="AH30" i="1"/>
  <c r="AH29" i="1"/>
  <c r="AH28" i="1"/>
  <c r="AH27" i="1"/>
  <c r="AH26" i="1"/>
  <c r="AH25" i="1"/>
  <c r="AH24" i="1"/>
  <c r="AG30" i="1"/>
  <c r="AG31" i="1"/>
  <c r="AG29" i="1"/>
  <c r="AG28" i="1"/>
  <c r="AG27" i="1"/>
  <c r="AG26" i="1"/>
  <c r="AG25" i="1"/>
  <c r="AG24" i="1"/>
  <c r="AR15" i="1"/>
  <c r="AR14" i="1"/>
  <c r="AR13" i="1"/>
  <c r="AR12" i="1"/>
  <c r="AR11" i="1"/>
  <c r="AR10" i="1"/>
  <c r="AR9" i="1"/>
  <c r="AR8" i="1"/>
  <c r="AQ15" i="1"/>
  <c r="AQ14" i="1"/>
  <c r="AQ13" i="1"/>
  <c r="AQ12" i="1"/>
  <c r="AQ11" i="1"/>
  <c r="AQ10" i="1"/>
  <c r="AQ9" i="1"/>
  <c r="AQ8" i="1"/>
  <c r="AP10" i="1"/>
  <c r="AP9" i="1"/>
  <c r="AP15" i="1"/>
  <c r="AP14" i="1"/>
  <c r="AP13" i="1"/>
  <c r="AP12" i="1"/>
  <c r="AP11" i="1"/>
  <c r="AP8" i="1"/>
  <c r="AO15" i="1"/>
  <c r="AO14" i="1"/>
  <c r="AO13" i="1"/>
  <c r="AO12" i="1"/>
  <c r="AO11" i="1"/>
  <c r="AO10" i="1"/>
  <c r="AO9" i="1"/>
  <c r="AO8" i="1"/>
  <c r="AN8" i="1"/>
  <c r="AN15" i="1"/>
  <c r="AN14" i="1"/>
  <c r="AN13" i="1"/>
  <c r="AN12" i="1"/>
  <c r="AN11" i="1"/>
  <c r="AN10" i="1"/>
  <c r="AN9" i="1"/>
  <c r="AM15" i="1"/>
  <c r="AM14" i="1"/>
  <c r="AM13" i="1"/>
  <c r="AM12" i="1"/>
  <c r="AM11" i="1"/>
  <c r="AM10" i="1"/>
  <c r="AM9" i="1"/>
  <c r="AM8" i="1"/>
  <c r="AL15" i="1"/>
  <c r="AL14" i="1"/>
  <c r="AL13" i="1"/>
  <c r="AL12" i="1"/>
  <c r="AL11" i="1"/>
  <c r="AL10" i="1"/>
  <c r="AL9" i="1"/>
  <c r="AL8" i="1"/>
  <c r="AK15" i="1"/>
  <c r="AK14" i="1"/>
  <c r="AK13" i="1"/>
  <c r="AK12" i="1"/>
  <c r="AK11" i="1"/>
  <c r="AK10" i="1"/>
  <c r="AK9" i="1"/>
  <c r="AK8" i="1"/>
  <c r="AJ15" i="1"/>
  <c r="AJ14" i="1"/>
  <c r="AJ13" i="1"/>
  <c r="AJ12" i="1"/>
  <c r="AJ11" i="1"/>
  <c r="AJ10" i="1"/>
  <c r="AJ9" i="1"/>
  <c r="AJ8" i="1"/>
  <c r="AI13" i="1"/>
  <c r="AI15" i="1"/>
  <c r="AI14" i="1"/>
  <c r="AI12" i="1"/>
  <c r="AI11" i="1"/>
  <c r="AI10" i="1"/>
  <c r="AI9" i="1"/>
  <c r="AI8" i="1"/>
  <c r="AH15" i="1"/>
  <c r="AH14" i="1"/>
  <c r="AH13" i="1"/>
  <c r="AH12" i="1"/>
  <c r="AH11" i="1"/>
  <c r="AH10" i="1"/>
  <c r="AH9" i="1"/>
  <c r="AH8" i="1"/>
  <c r="AG15" i="1"/>
  <c r="AG14" i="1"/>
  <c r="AG13" i="1"/>
  <c r="AG12" i="1"/>
  <c r="AG11" i="1"/>
  <c r="AG10" i="1"/>
  <c r="AS107" i="1" l="1"/>
  <c r="AS77" i="1"/>
  <c r="AS88" i="1"/>
  <c r="AS104" i="1"/>
  <c r="AS58" i="1"/>
  <c r="AS108" i="1"/>
  <c r="AS57" i="1"/>
  <c r="AS29" i="1"/>
  <c r="AS75" i="1"/>
  <c r="AS31" i="1"/>
  <c r="AS78" i="1"/>
  <c r="AS12" i="1"/>
  <c r="AS44" i="1"/>
  <c r="AS59" i="1"/>
  <c r="AS92" i="1"/>
  <c r="AT28" i="1"/>
  <c r="AS28" i="1"/>
  <c r="AR32" i="1"/>
  <c r="AJ64" i="1"/>
  <c r="AN80" i="1"/>
  <c r="AO112" i="1"/>
  <c r="AS60" i="1"/>
  <c r="AS93" i="1"/>
  <c r="AS109" i="1"/>
  <c r="AI16" i="1"/>
  <c r="AK32" i="1"/>
  <c r="AO48" i="1"/>
  <c r="AS71" i="1"/>
  <c r="AG80" i="1"/>
  <c r="AL96" i="1"/>
  <c r="AP112" i="1"/>
  <c r="AS61" i="1"/>
  <c r="AH48" i="1"/>
  <c r="AL64" i="1"/>
  <c r="AP80" i="1"/>
  <c r="AI112" i="1"/>
  <c r="AS15" i="1"/>
  <c r="AS47" i="1"/>
  <c r="AS95" i="1"/>
  <c r="AS111" i="1"/>
  <c r="AQ16" i="1"/>
  <c r="AM32" i="1"/>
  <c r="AM64" i="1"/>
  <c r="AQ80" i="1"/>
  <c r="AN96" i="1"/>
  <c r="AR112" i="1"/>
  <c r="AT24" i="1"/>
  <c r="AS24" i="1"/>
  <c r="AT72" i="1"/>
  <c r="AS72" i="1"/>
  <c r="AS9" i="1"/>
  <c r="AR16" i="1"/>
  <c r="AJ48" i="1"/>
  <c r="AN64" i="1"/>
  <c r="AR80" i="1"/>
  <c r="AS41" i="1"/>
  <c r="AT73" i="1"/>
  <c r="AS73" i="1"/>
  <c r="AT89" i="1"/>
  <c r="AS89" i="1"/>
  <c r="AK16" i="1"/>
  <c r="AG32" i="1"/>
  <c r="AS23" i="1"/>
  <c r="AK48" i="1"/>
  <c r="AK80" i="1"/>
  <c r="AP96" i="1"/>
  <c r="AS10" i="1"/>
  <c r="AT26" i="1"/>
  <c r="AS26" i="1"/>
  <c r="AS42" i="1"/>
  <c r="AS63" i="1"/>
  <c r="AT74" i="1"/>
  <c r="AS74" i="1"/>
  <c r="AT90" i="1"/>
  <c r="AS90" i="1"/>
  <c r="AT106" i="1"/>
  <c r="AS106" i="1"/>
  <c r="AL16" i="1"/>
  <c r="AH32" i="1"/>
  <c r="AP32" i="1"/>
  <c r="AL48" i="1"/>
  <c r="AH64" i="1"/>
  <c r="AP64" i="1"/>
  <c r="AL80" i="1"/>
  <c r="AH96" i="1"/>
  <c r="AQ96" i="1"/>
  <c r="AM112" i="1"/>
  <c r="AT76" i="1"/>
  <c r="AS76" i="1"/>
  <c r="AN16" i="1"/>
  <c r="AJ32" i="1"/>
  <c r="AN48" i="1"/>
  <c r="AR64" i="1"/>
  <c r="AJ96" i="1"/>
  <c r="AG112" i="1"/>
  <c r="AS103" i="1"/>
  <c r="AK96" i="1"/>
  <c r="AS13" i="1"/>
  <c r="AS45" i="1"/>
  <c r="AO16" i="1"/>
  <c r="AG48" i="1"/>
  <c r="AS39" i="1"/>
  <c r="AK64" i="1"/>
  <c r="AO80" i="1"/>
  <c r="AH112" i="1"/>
  <c r="AS14" i="1"/>
  <c r="AS46" i="1"/>
  <c r="AS94" i="1"/>
  <c r="AS110" i="1"/>
  <c r="AP16" i="1"/>
  <c r="AL32" i="1"/>
  <c r="AP48" i="1"/>
  <c r="AH80" i="1"/>
  <c r="AM96" i="1"/>
  <c r="AQ112" i="1"/>
  <c r="AS30" i="1"/>
  <c r="AS62" i="1"/>
  <c r="AS79" i="1"/>
  <c r="AJ16" i="1"/>
  <c r="AI48" i="1"/>
  <c r="AQ48" i="1"/>
  <c r="AI80" i="1"/>
  <c r="AJ112" i="1"/>
  <c r="AS40" i="1"/>
  <c r="AN32" i="1"/>
  <c r="AR48" i="1"/>
  <c r="AJ80" i="1"/>
  <c r="AO96" i="1"/>
  <c r="AK112" i="1"/>
  <c r="AT25" i="1"/>
  <c r="AS25" i="1"/>
  <c r="AS56" i="1"/>
  <c r="AT105" i="1"/>
  <c r="AS105" i="1"/>
  <c r="AS8" i="1"/>
  <c r="AO32" i="1"/>
  <c r="AS55" i="1"/>
  <c r="AG64" i="1"/>
  <c r="AO64" i="1"/>
  <c r="AG96" i="1"/>
  <c r="AS87" i="1"/>
  <c r="AL112" i="1"/>
  <c r="AS11" i="1"/>
  <c r="AT27" i="1"/>
  <c r="AS27" i="1"/>
  <c r="AS43" i="1"/>
  <c r="AS91" i="1"/>
  <c r="AH16" i="1"/>
  <c r="AM16" i="1"/>
  <c r="AI32" i="1"/>
  <c r="AQ32" i="1"/>
  <c r="AM48" i="1"/>
  <c r="AI64" i="1"/>
  <c r="AQ64" i="1"/>
  <c r="AM80" i="1"/>
  <c r="AI96" i="1"/>
  <c r="AR96" i="1"/>
  <c r="AN112" i="1"/>
  <c r="AG16" i="1"/>
  <c r="AS7" i="1"/>
  <c r="AT75" i="1"/>
  <c r="AT104" i="1"/>
  <c r="AT88" i="1"/>
  <c r="AT57" i="1"/>
  <c r="AT107" i="1"/>
  <c r="AT77" i="1"/>
  <c r="AG17" i="1"/>
  <c r="AN17" i="1"/>
  <c r="AJ33" i="1"/>
  <c r="AR33" i="1"/>
  <c r="AN49" i="1"/>
  <c r="AJ65" i="1"/>
  <c r="AR65" i="1"/>
  <c r="AN81" i="1"/>
  <c r="AJ97" i="1"/>
  <c r="AG113" i="1"/>
  <c r="AO113" i="1"/>
  <c r="AK97" i="1"/>
  <c r="AI17" i="1"/>
  <c r="AO17" i="1"/>
  <c r="AK33" i="1"/>
  <c r="AG49" i="1"/>
  <c r="AO49" i="1"/>
  <c r="AK65" i="1"/>
  <c r="AG81" i="1"/>
  <c r="AO81" i="1"/>
  <c r="AL97" i="1"/>
  <c r="AH113" i="1"/>
  <c r="AP113" i="1"/>
  <c r="AP17" i="1"/>
  <c r="AL33" i="1"/>
  <c r="AH49" i="1"/>
  <c r="AP49" i="1"/>
  <c r="AL65" i="1"/>
  <c r="AH81" i="1"/>
  <c r="AP81" i="1"/>
  <c r="AM97" i="1"/>
  <c r="AI113" i="1"/>
  <c r="AQ113" i="1"/>
  <c r="AJ17" i="1"/>
  <c r="AQ17" i="1"/>
  <c r="AM33" i="1"/>
  <c r="AI49" i="1"/>
  <c r="AQ49" i="1"/>
  <c r="AM65" i="1"/>
  <c r="AI81" i="1"/>
  <c r="AQ81" i="1"/>
  <c r="AN97" i="1"/>
  <c r="AJ113" i="1"/>
  <c r="AR113" i="1"/>
  <c r="AR17" i="1"/>
  <c r="AN33" i="1"/>
  <c r="AJ49" i="1"/>
  <c r="AR49" i="1"/>
  <c r="AN65" i="1"/>
  <c r="AJ81" i="1"/>
  <c r="AR81" i="1"/>
  <c r="AO97" i="1"/>
  <c r="AK113" i="1"/>
  <c r="AK17" i="1"/>
  <c r="AG33" i="1"/>
  <c r="AO33" i="1"/>
  <c r="AK49" i="1"/>
  <c r="AG65" i="1"/>
  <c r="AO65" i="1"/>
  <c r="AK81" i="1"/>
  <c r="AG97" i="1"/>
  <c r="AP97" i="1"/>
  <c r="AL113" i="1"/>
  <c r="AL17" i="1"/>
  <c r="AH33" i="1"/>
  <c r="AP33" i="1"/>
  <c r="AL49" i="1"/>
  <c r="AH65" i="1"/>
  <c r="AP65" i="1"/>
  <c r="AL81" i="1"/>
  <c r="AH97" i="1"/>
  <c r="AQ97" i="1"/>
  <c r="AM113" i="1"/>
  <c r="AH17" i="1"/>
  <c r="AM17" i="1"/>
  <c r="AI33" i="1"/>
  <c r="AQ33" i="1"/>
  <c r="AM49" i="1"/>
  <c r="AI65" i="1"/>
  <c r="AQ65" i="1"/>
  <c r="AM81" i="1"/>
  <c r="AI97" i="1"/>
  <c r="AR97" i="1"/>
  <c r="AN113" i="1"/>
  <c r="AT15" i="1"/>
  <c r="AT30" i="1"/>
  <c r="AT47" i="1"/>
  <c r="AT62" i="1"/>
  <c r="AT79" i="1"/>
  <c r="AT95" i="1"/>
  <c r="AT111" i="1"/>
  <c r="AT40" i="1"/>
  <c r="AT9" i="1"/>
  <c r="AT41" i="1"/>
  <c r="AT56" i="1"/>
  <c r="AT8" i="1"/>
  <c r="AT10" i="1"/>
  <c r="AT42" i="1"/>
  <c r="AT63" i="1"/>
  <c r="AT7" i="1"/>
  <c r="AT23" i="1"/>
  <c r="AT55" i="1"/>
  <c r="AT87" i="1"/>
  <c r="AT11" i="1"/>
  <c r="AT43" i="1"/>
  <c r="AT58" i="1"/>
  <c r="AT91" i="1"/>
  <c r="AT12" i="1"/>
  <c r="AT44" i="1"/>
  <c r="AT59" i="1"/>
  <c r="AT92" i="1"/>
  <c r="AT108" i="1"/>
  <c r="AT13" i="1"/>
  <c r="AT29" i="1"/>
  <c r="AT45" i="1"/>
  <c r="AT60" i="1"/>
  <c r="AT93" i="1"/>
  <c r="AT109" i="1"/>
  <c r="AT103" i="1"/>
  <c r="AT14" i="1"/>
  <c r="AT31" i="1"/>
  <c r="AT46" i="1"/>
  <c r="AT61" i="1"/>
  <c r="AT78" i="1"/>
  <c r="AT94" i="1"/>
  <c r="AT110" i="1"/>
  <c r="AT39" i="1"/>
  <c r="AT71" i="1"/>
  <c r="AS16" i="1" l="1"/>
  <c r="AS64" i="1"/>
  <c r="AS96" i="1"/>
  <c r="AS112" i="1"/>
  <c r="AS32" i="1"/>
  <c r="AS48" i="1"/>
  <c r="AS80" i="1"/>
</calcChain>
</file>

<file path=xl/sharedStrings.xml><?xml version="1.0" encoding="utf-8"?>
<sst xmlns="http://schemas.openxmlformats.org/spreadsheetml/2006/main" count="1843" uniqueCount="62">
  <si>
    <t xml:space="preserve">No. </t>
  </si>
  <si>
    <t>Minggu</t>
  </si>
  <si>
    <t>Perlakuan</t>
  </si>
  <si>
    <t>Titik Sampel</t>
  </si>
  <si>
    <t>Depan</t>
  </si>
  <si>
    <t>Plot 1</t>
  </si>
  <si>
    <t>Skor</t>
  </si>
  <si>
    <t>Plot 2</t>
  </si>
  <si>
    <t>Plot 3</t>
  </si>
  <si>
    <t xml:space="preserve">Skor </t>
  </si>
  <si>
    <t>Plot 4</t>
  </si>
  <si>
    <t>Tengah</t>
  </si>
  <si>
    <t>Belakang</t>
  </si>
  <si>
    <t>P0W10</t>
  </si>
  <si>
    <t>P0W20</t>
  </si>
  <si>
    <t>P0W30</t>
  </si>
  <si>
    <t>P5W10</t>
  </si>
  <si>
    <t>P5W20</t>
  </si>
  <si>
    <t>P5W30</t>
  </si>
  <si>
    <t>P10W10</t>
  </si>
  <si>
    <t>P10W20</t>
  </si>
  <si>
    <t>P10W30</t>
  </si>
  <si>
    <t>Minggu III Rabu / 06/09/2023</t>
  </si>
  <si>
    <t>Minggu IV Rabu / 13/09/2023</t>
  </si>
  <si>
    <t>Minggu V Rabu / 20/09/2023</t>
  </si>
  <si>
    <t>Minggu VI Rabu / 27/09/2023</t>
  </si>
  <si>
    <t>Minggu VII Rabu / 04/10/2023</t>
  </si>
  <si>
    <t>Minggu VIII Rabu / 11/10/2023</t>
  </si>
  <si>
    <t>Minggu IX Rabu / 18/10/2023</t>
  </si>
  <si>
    <t>No.</t>
  </si>
  <si>
    <t>Tabel Jumlah Daun</t>
  </si>
  <si>
    <t>Minggu I Rabu / 23/08/2023</t>
  </si>
  <si>
    <t>Minggu II Rabu / 30/08/2023</t>
  </si>
  <si>
    <t>Kategori</t>
  </si>
  <si>
    <t>TINGGI TANAMAN</t>
  </si>
  <si>
    <t xml:space="preserve">Minggu </t>
  </si>
  <si>
    <t>Minggu I Rabu /23/08/2023</t>
  </si>
  <si>
    <t>Minggu II Rabu /30/08/2023</t>
  </si>
  <si>
    <t>Minggu III Rabu /06/09/2023</t>
  </si>
  <si>
    <t>Minggu IV Rabu /13/09/2023</t>
  </si>
  <si>
    <t>Minggu V Rabu /20/09/2023</t>
  </si>
  <si>
    <t>Minggu VI Rabu /27/09/2023</t>
  </si>
  <si>
    <t>Minggu VII Rabu /04/10/2023</t>
  </si>
  <si>
    <t>Minggu VIII Rabu /11/10/2023</t>
  </si>
  <si>
    <t>Minggu IX Rabu /18/10/2023</t>
  </si>
  <si>
    <t>29.5 </t>
  </si>
  <si>
    <t>73,5</t>
  </si>
  <si>
    <t>Rata-rata</t>
  </si>
  <si>
    <t>Total</t>
  </si>
  <si>
    <t>Minggu Ke- II
Rabu / 30/08/2023</t>
  </si>
  <si>
    <t>Minggu Ke- I 
Rabu / 23/08/2023</t>
  </si>
  <si>
    <t>Minggu Ke- III
Rabu / 06/09/2023</t>
  </si>
  <si>
    <t>Minggu Ke- IV
Rabu / 13/09/2023</t>
  </si>
  <si>
    <t>Minggu Ke- V
Rabu / 20/09/2023</t>
  </si>
  <si>
    <t>Minggu Ke- VI
Rabu / 27/09/2023</t>
  </si>
  <si>
    <t>Minggu Ke- VII
Rabu / 04/10/2023</t>
  </si>
  <si>
    <t>Minggu Ke- VIII
Rabu / 11/10/2023</t>
  </si>
  <si>
    <t>Minggu Ke- IX
Rabu / 18/10/2023</t>
  </si>
  <si>
    <t xml:space="preserve"> </t>
  </si>
  <si>
    <r>
      <t xml:space="preserve">Tabel Intensitas Penyait Bercak Coklat </t>
    </r>
    <r>
      <rPr>
        <b/>
        <i/>
        <sz val="15"/>
        <color theme="1"/>
        <rFont val="Times New Roman"/>
        <family val="1"/>
      </rPr>
      <t>Curvularia</t>
    </r>
    <r>
      <rPr>
        <b/>
        <sz val="15"/>
        <color theme="1"/>
        <rFont val="Times New Roman"/>
        <family val="1"/>
      </rPr>
      <t xml:space="preserve"> sp.</t>
    </r>
  </si>
  <si>
    <r>
      <t xml:space="preserve">Hasil Perhitungan Intensitas Penyakit Bercak Coklat </t>
    </r>
    <r>
      <rPr>
        <b/>
        <i/>
        <sz val="15"/>
        <color theme="1"/>
        <rFont val="Times New Roman"/>
        <family val="1"/>
      </rPr>
      <t>Curvularia</t>
    </r>
    <r>
      <rPr>
        <b/>
        <sz val="15"/>
        <color theme="1"/>
        <rFont val="Times New Roman"/>
        <family val="1"/>
      </rPr>
      <t xml:space="preserve"> sp. (Tabel 1 arah)</t>
    </r>
  </si>
  <si>
    <t>Titik Sampel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</si>
</sst>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i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6" xfId="0" applyFont="1" applyFill="1" applyBorder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2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5" fontId="3" fillId="0" borderId="1" xfId="0" applyNumberFormat="1" applyFont="1" applyBorder="1"/>
    <xf numFmtId="1" fontId="1" fillId="0" borderId="1" xfId="0" applyNumberFormat="1" applyFont="1" applyBorder="1" applyAlignment="1">
      <alignment vertical="center" wrapText="1"/>
    </xf>
    <xf numFmtId="1" fontId="3" fillId="0" borderId="1" xfId="0" applyNumberFormat="1" applyFont="1" applyBorder="1"/>
    <xf numFmtId="1" fontId="1" fillId="0" borderId="0" xfId="0" applyNumberFormat="1" applyFont="1" applyAlignment="1">
      <alignment vertical="center" wrapText="1"/>
    </xf>
    <xf numFmtId="1" fontId="3" fillId="0" borderId="9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5" fontId="3" fillId="0" borderId="0" xfId="0" applyNumberFormat="1" applyFont="1"/>
    <xf numFmtId="166" fontId="3" fillId="0" borderId="1" xfId="0" applyNumberFormat="1" applyFont="1" applyBorder="1"/>
    <xf numFmtId="1" fontId="3" fillId="0" borderId="0" xfId="0" applyNumberFormat="1" applyFont="1"/>
    <xf numFmtId="1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2" fontId="3" fillId="0" borderId="0" xfId="0" applyNumberFormat="1" applyFont="1"/>
    <xf numFmtId="164" fontId="3" fillId="0" borderId="0" xfId="0" applyNumberFormat="1" applyFont="1"/>
    <xf numFmtId="0" fontId="6" fillId="0" borderId="8" xfId="0" applyFont="1" applyBorder="1" applyAlignment="1">
      <alignment horizontal="center"/>
    </xf>
    <xf numFmtId="9" fontId="3" fillId="0" borderId="1" xfId="1" applyFont="1" applyBorder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3" fillId="2" borderId="5" xfId="0" applyFont="1" applyFill="1" applyBorder="1"/>
    <xf numFmtId="2" fontId="3" fillId="0" borderId="1" xfId="0" applyNumberFormat="1" applyFont="1" applyBorder="1"/>
    <xf numFmtId="1" fontId="3" fillId="0" borderId="1" xfId="0" applyNumberFormat="1" applyFont="1" applyBorder="1" applyAlignment="1">
      <alignment vertical="center" wrapText="1"/>
    </xf>
    <xf numFmtId="1" fontId="3" fillId="0" borderId="4" xfId="0" applyNumberFormat="1" applyFont="1" applyBorder="1"/>
    <xf numFmtId="1" fontId="3" fillId="0" borderId="7" xfId="0" applyNumberFormat="1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E5A7-6B33-4380-93B2-E638D6D611EB}">
  <dimension ref="A2:AT214"/>
  <sheetViews>
    <sheetView topLeftCell="S1" zoomScale="52" zoomScaleNormal="55" workbookViewId="0">
      <selection activeCell="AX11" sqref="AX11"/>
    </sheetView>
  </sheetViews>
  <sheetFormatPr defaultRowHeight="14" x14ac:dyDescent="0.3"/>
  <cols>
    <col min="1" max="1" width="8.7265625" style="17"/>
    <col min="2" max="2" width="29.26953125" style="17" customWidth="1"/>
    <col min="3" max="3" width="11.26953125" style="17" customWidth="1"/>
    <col min="4" max="4" width="8.7265625" style="17" customWidth="1"/>
    <col min="5" max="30" width="8.7265625" style="17"/>
    <col min="31" max="31" width="29.26953125" style="17" customWidth="1"/>
    <col min="32" max="32" width="11.08984375" style="17" customWidth="1"/>
    <col min="33" max="44" width="8.7265625" style="17"/>
    <col min="45" max="45" width="13.54296875" style="17" customWidth="1"/>
    <col min="46" max="46" width="13.36328125" style="17" customWidth="1"/>
    <col min="47" max="47" width="8.7265625" style="17"/>
    <col min="48" max="48" width="14" style="17" customWidth="1"/>
    <col min="49" max="49" width="13.453125" style="17" customWidth="1"/>
    <col min="50" max="50" width="10.453125" style="17" customWidth="1"/>
    <col min="51" max="51" width="11.90625" style="17" customWidth="1"/>
    <col min="52" max="52" width="12.1796875" style="17" customWidth="1"/>
    <col min="53" max="53" width="13.36328125" style="17" customWidth="1"/>
    <col min="54" max="54" width="14" style="17" customWidth="1"/>
    <col min="55" max="55" width="15.08984375" style="17" customWidth="1"/>
    <col min="56" max="56" width="15.81640625" style="17" customWidth="1"/>
    <col min="57" max="57" width="8.7265625" style="17"/>
    <col min="58" max="58" width="12.26953125" style="17" customWidth="1"/>
    <col min="59" max="59" width="12.36328125" style="17" customWidth="1"/>
    <col min="60" max="60" width="12.1796875" style="17" customWidth="1"/>
    <col min="61" max="61" width="12.54296875" style="17" customWidth="1"/>
    <col min="62" max="62" width="11.7265625" style="17" customWidth="1"/>
    <col min="63" max="63" width="12.1796875" style="17" customWidth="1"/>
    <col min="64" max="64" width="11.54296875" style="17" customWidth="1"/>
    <col min="65" max="65" width="12.54296875" style="17" customWidth="1"/>
    <col min="66" max="16384" width="8.7265625" style="17"/>
  </cols>
  <sheetData>
    <row r="2" spans="1:46" ht="19" x14ac:dyDescent="0.4">
      <c r="A2" s="80" t="s">
        <v>59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46" ht="19" x14ac:dyDescent="0.4">
      <c r="A3" s="9" t="s">
        <v>0</v>
      </c>
      <c r="B3" s="8" t="s">
        <v>1</v>
      </c>
      <c r="C3" s="79" t="s">
        <v>2</v>
      </c>
      <c r="D3" s="74" t="s">
        <v>3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D3" s="82" t="s">
        <v>60</v>
      </c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53"/>
    </row>
    <row r="4" spans="1:46" x14ac:dyDescent="0.3">
      <c r="A4" s="67">
        <v>1</v>
      </c>
      <c r="B4" s="67" t="s">
        <v>22</v>
      </c>
      <c r="C4" s="79"/>
      <c r="D4" s="74" t="s">
        <v>4</v>
      </c>
      <c r="E4" s="74"/>
      <c r="F4" s="74"/>
      <c r="G4" s="74"/>
      <c r="H4" s="74"/>
      <c r="I4" s="74"/>
      <c r="J4" s="74"/>
      <c r="K4" s="74"/>
      <c r="L4" s="74" t="s">
        <v>11</v>
      </c>
      <c r="M4" s="74"/>
      <c r="N4" s="74"/>
      <c r="O4" s="74"/>
      <c r="P4" s="74"/>
      <c r="Q4" s="74"/>
      <c r="R4" s="74"/>
      <c r="S4" s="74"/>
      <c r="T4" s="74" t="s">
        <v>12</v>
      </c>
      <c r="U4" s="74"/>
      <c r="V4" s="74"/>
      <c r="W4" s="74"/>
      <c r="X4" s="74"/>
      <c r="Y4" s="74"/>
      <c r="Z4" s="74"/>
      <c r="AA4" s="74"/>
      <c r="AD4" s="3" t="s">
        <v>29</v>
      </c>
      <c r="AE4" s="3" t="s">
        <v>1</v>
      </c>
      <c r="AF4" s="73" t="s">
        <v>2</v>
      </c>
      <c r="AG4" s="75" t="s">
        <v>3</v>
      </c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3"/>
      <c r="AT4" s="73" t="s">
        <v>47</v>
      </c>
    </row>
    <row r="5" spans="1:46" x14ac:dyDescent="0.3">
      <c r="A5" s="68"/>
      <c r="B5" s="68"/>
      <c r="C5" s="79"/>
      <c r="D5" s="8" t="s">
        <v>5</v>
      </c>
      <c r="E5" s="8" t="s">
        <v>6</v>
      </c>
      <c r="F5" s="8" t="s">
        <v>7</v>
      </c>
      <c r="G5" s="8" t="s">
        <v>6</v>
      </c>
      <c r="H5" s="8" t="s">
        <v>8</v>
      </c>
      <c r="I5" s="8" t="s">
        <v>9</v>
      </c>
      <c r="J5" s="8" t="s">
        <v>10</v>
      </c>
      <c r="K5" s="8" t="s">
        <v>6</v>
      </c>
      <c r="L5" s="8" t="s">
        <v>5</v>
      </c>
      <c r="M5" s="8" t="s">
        <v>6</v>
      </c>
      <c r="N5" s="8" t="s">
        <v>7</v>
      </c>
      <c r="O5" s="8" t="s">
        <v>6</v>
      </c>
      <c r="P5" s="8" t="s">
        <v>8</v>
      </c>
      <c r="Q5" s="8" t="s">
        <v>9</v>
      </c>
      <c r="R5" s="8" t="s">
        <v>10</v>
      </c>
      <c r="S5" s="8" t="s">
        <v>6</v>
      </c>
      <c r="T5" s="8" t="s">
        <v>5</v>
      </c>
      <c r="U5" s="8" t="s">
        <v>6</v>
      </c>
      <c r="V5" s="8" t="s">
        <v>7</v>
      </c>
      <c r="W5" s="8" t="s">
        <v>6</v>
      </c>
      <c r="X5" s="8" t="s">
        <v>8</v>
      </c>
      <c r="Y5" s="8" t="s">
        <v>9</v>
      </c>
      <c r="Z5" s="8" t="s">
        <v>10</v>
      </c>
      <c r="AA5" s="8" t="s">
        <v>6</v>
      </c>
      <c r="AD5" s="70">
        <v>1</v>
      </c>
      <c r="AE5" s="70" t="s">
        <v>22</v>
      </c>
      <c r="AF5" s="73"/>
      <c r="AG5" s="75" t="s">
        <v>4</v>
      </c>
      <c r="AH5" s="75"/>
      <c r="AI5" s="75"/>
      <c r="AJ5" s="75"/>
      <c r="AK5" s="75" t="s">
        <v>11</v>
      </c>
      <c r="AL5" s="75"/>
      <c r="AM5" s="75"/>
      <c r="AN5" s="75"/>
      <c r="AO5" s="75" t="s">
        <v>12</v>
      </c>
      <c r="AP5" s="75"/>
      <c r="AQ5" s="75"/>
      <c r="AR5" s="75"/>
      <c r="AS5" s="3" t="s">
        <v>48</v>
      </c>
      <c r="AT5" s="73"/>
    </row>
    <row r="6" spans="1:46" ht="15.5" x14ac:dyDescent="0.3">
      <c r="A6" s="68"/>
      <c r="B6" s="68"/>
      <c r="C6" s="6" t="s">
        <v>13</v>
      </c>
      <c r="D6" s="10">
        <v>2</v>
      </c>
      <c r="E6" s="9">
        <v>1</v>
      </c>
      <c r="F6" s="10">
        <v>0</v>
      </c>
      <c r="G6" s="9">
        <v>0</v>
      </c>
      <c r="H6" s="10">
        <v>0</v>
      </c>
      <c r="I6" s="9">
        <v>0</v>
      </c>
      <c r="J6" s="10">
        <v>2</v>
      </c>
      <c r="K6" s="9">
        <v>1</v>
      </c>
      <c r="L6" s="10">
        <v>0</v>
      </c>
      <c r="M6" s="9">
        <v>0</v>
      </c>
      <c r="N6" s="10">
        <v>0</v>
      </c>
      <c r="O6" s="9">
        <v>0</v>
      </c>
      <c r="P6" s="10">
        <v>0</v>
      </c>
      <c r="Q6" s="9">
        <v>0</v>
      </c>
      <c r="R6" s="10">
        <v>0</v>
      </c>
      <c r="S6" s="9">
        <v>0</v>
      </c>
      <c r="T6" s="10">
        <v>2</v>
      </c>
      <c r="U6" s="9">
        <v>1</v>
      </c>
      <c r="V6" s="10">
        <v>2</v>
      </c>
      <c r="W6" s="9">
        <v>1</v>
      </c>
      <c r="X6" s="10">
        <v>0</v>
      </c>
      <c r="Y6" s="9">
        <v>0</v>
      </c>
      <c r="Z6" s="10">
        <v>0</v>
      </c>
      <c r="AA6" s="9">
        <v>0</v>
      </c>
      <c r="AD6" s="71"/>
      <c r="AE6" s="71"/>
      <c r="AF6" s="73"/>
      <c r="AG6" s="2" t="s">
        <v>5</v>
      </c>
      <c r="AH6" s="2" t="s">
        <v>7</v>
      </c>
      <c r="AI6" s="2" t="s">
        <v>8</v>
      </c>
      <c r="AJ6" s="2" t="s">
        <v>10</v>
      </c>
      <c r="AK6" s="2" t="s">
        <v>5</v>
      </c>
      <c r="AL6" s="2" t="s">
        <v>7</v>
      </c>
      <c r="AM6" s="2" t="s">
        <v>8</v>
      </c>
      <c r="AN6" s="2" t="s">
        <v>10</v>
      </c>
      <c r="AO6" s="2" t="s">
        <v>5</v>
      </c>
      <c r="AP6" s="2" t="s">
        <v>7</v>
      </c>
      <c r="AQ6" s="2" t="s">
        <v>8</v>
      </c>
      <c r="AR6" s="2" t="s">
        <v>10</v>
      </c>
      <c r="AS6" s="2"/>
      <c r="AT6" s="73"/>
    </row>
    <row r="7" spans="1:46" ht="15.5" x14ac:dyDescent="0.3">
      <c r="A7" s="68"/>
      <c r="B7" s="68"/>
      <c r="C7" s="6" t="s">
        <v>14</v>
      </c>
      <c r="D7" s="10">
        <v>3</v>
      </c>
      <c r="E7" s="9">
        <v>1</v>
      </c>
      <c r="F7" s="10">
        <v>4</v>
      </c>
      <c r="G7" s="9">
        <v>1</v>
      </c>
      <c r="H7" s="10">
        <v>4</v>
      </c>
      <c r="I7" s="9">
        <v>1</v>
      </c>
      <c r="J7" s="10">
        <v>5</v>
      </c>
      <c r="K7" s="9">
        <v>1</v>
      </c>
      <c r="L7" s="10">
        <v>3</v>
      </c>
      <c r="M7" s="9">
        <v>1</v>
      </c>
      <c r="N7" s="10">
        <v>4</v>
      </c>
      <c r="O7" s="9">
        <v>1</v>
      </c>
      <c r="P7" s="10">
        <v>3</v>
      </c>
      <c r="Q7" s="9">
        <v>1</v>
      </c>
      <c r="R7" s="10">
        <v>4</v>
      </c>
      <c r="S7" s="9">
        <v>1</v>
      </c>
      <c r="T7" s="10">
        <v>2</v>
      </c>
      <c r="U7" s="9">
        <v>1</v>
      </c>
      <c r="V7" s="10">
        <v>2</v>
      </c>
      <c r="W7" s="9">
        <v>1</v>
      </c>
      <c r="X7" s="10">
        <v>3</v>
      </c>
      <c r="Y7" s="9">
        <v>1</v>
      </c>
      <c r="Z7" s="10">
        <v>3</v>
      </c>
      <c r="AA7" s="9">
        <v>1</v>
      </c>
      <c r="AD7" s="71"/>
      <c r="AE7" s="71"/>
      <c r="AF7" s="1" t="s">
        <v>13</v>
      </c>
      <c r="AG7" s="58">
        <f>SUM(D6*E6)/(Q99*D124)*100%</f>
        <v>7.5471698113207548E-3</v>
      </c>
      <c r="AH7" s="58">
        <f>SUM(F6*G6)/(Q99*E124)*100%</f>
        <v>0</v>
      </c>
      <c r="AI7" s="58">
        <f>SUM(H6*I6)/(Q99*F124)*100%</f>
        <v>0</v>
      </c>
      <c r="AJ7" s="58">
        <f>SUM(J6*K6)/(Q99*G124)*100%</f>
        <v>6.6666666666666671E-3</v>
      </c>
      <c r="AK7" s="58">
        <f>SUM(L6*M6)/(Q99*H124)*100%</f>
        <v>0</v>
      </c>
      <c r="AL7" s="58">
        <f>SUM(N6*O6)/(Q99*I124)*100%</f>
        <v>0</v>
      </c>
      <c r="AM7" s="58">
        <f>SUM(P6*Q6)/(Q99*J124)*100%</f>
        <v>0</v>
      </c>
      <c r="AN7" s="58">
        <f>SUM(R6*S6)/(Q99*K124)*100%</f>
        <v>0</v>
      </c>
      <c r="AO7" s="58">
        <f>SUM(T6*U6)/(Q99*L124)*100%</f>
        <v>8.8888888888888889E-3</v>
      </c>
      <c r="AP7" s="58">
        <f>SUM(V6*W6)/(Q99*M124)*100%</f>
        <v>5.4054054054054057E-3</v>
      </c>
      <c r="AQ7" s="58">
        <f>SUM(X6*Y6)/(Q99*N124)*100%</f>
        <v>0</v>
      </c>
      <c r="AR7" s="58">
        <f>SUM(Z6*AA6)/(Q99*O124)*100%</f>
        <v>0</v>
      </c>
      <c r="AS7" s="58">
        <f>SUM(AG7:AR7)</f>
        <v>2.8508130772281717E-2</v>
      </c>
      <c r="AT7" s="58">
        <f t="shared" ref="AT7:AT15" si="0">AVERAGE(AG7:AR7)</f>
        <v>2.3756775643568096E-3</v>
      </c>
    </row>
    <row r="8" spans="1:46" ht="15.5" x14ac:dyDescent="0.3">
      <c r="A8" s="68"/>
      <c r="B8" s="68"/>
      <c r="C8" s="6" t="s">
        <v>15</v>
      </c>
      <c r="D8" s="10">
        <v>2</v>
      </c>
      <c r="E8" s="9">
        <v>1</v>
      </c>
      <c r="F8" s="10">
        <v>4</v>
      </c>
      <c r="G8" s="9">
        <v>1</v>
      </c>
      <c r="H8" s="10">
        <v>4</v>
      </c>
      <c r="I8" s="9">
        <v>1</v>
      </c>
      <c r="J8" s="10">
        <v>2</v>
      </c>
      <c r="K8" s="9">
        <v>1</v>
      </c>
      <c r="L8" s="10">
        <v>3</v>
      </c>
      <c r="M8" s="9">
        <v>1</v>
      </c>
      <c r="N8" s="10">
        <v>1</v>
      </c>
      <c r="O8" s="9">
        <v>1</v>
      </c>
      <c r="P8" s="10">
        <v>3</v>
      </c>
      <c r="Q8" s="9">
        <v>1</v>
      </c>
      <c r="R8" s="10">
        <v>2</v>
      </c>
      <c r="S8" s="9">
        <v>1</v>
      </c>
      <c r="T8" s="10">
        <v>3</v>
      </c>
      <c r="U8" s="9">
        <v>1</v>
      </c>
      <c r="V8" s="10">
        <v>3</v>
      </c>
      <c r="W8" s="9">
        <v>1</v>
      </c>
      <c r="X8" s="10">
        <v>2</v>
      </c>
      <c r="Y8" s="9">
        <v>1</v>
      </c>
      <c r="Z8" s="10">
        <v>1</v>
      </c>
      <c r="AA8" s="9">
        <v>1</v>
      </c>
      <c r="AD8" s="71"/>
      <c r="AE8" s="71"/>
      <c r="AF8" s="1" t="s">
        <v>14</v>
      </c>
      <c r="AG8" s="58">
        <f>SUM(D7*E7)/(Q99*D125)*100%</f>
        <v>1.8749999999999999E-2</v>
      </c>
      <c r="AH8" s="58">
        <f>SUM(F7*G7)/(Q99*E125)*100%</f>
        <v>2.1052631578947368E-2</v>
      </c>
      <c r="AI8" s="58">
        <f>SUM(H7*I7)/(Q99*F125)*100%</f>
        <v>2.2857142857142857E-2</v>
      </c>
      <c r="AJ8" s="58">
        <f>SUM(J7*K7)/(Q99*G125)*100%</f>
        <v>2.5000000000000001E-2</v>
      </c>
      <c r="AK8" s="58">
        <f>SUM(L7*M7)/(Q99*H125)*100%</f>
        <v>1.8749999999999999E-2</v>
      </c>
      <c r="AL8" s="58">
        <f>SUM(N7*O7)/(Q99*I125)*100%</f>
        <v>2.2857142857142857E-2</v>
      </c>
      <c r="AM8" s="58">
        <f>SUM(N7*O7)/(Q99*J125)*100%</f>
        <v>1.4814814814814815E-2</v>
      </c>
      <c r="AN8" s="58">
        <f>SUM(R7*S7)/(Q99*K125)*100%</f>
        <v>2.5000000000000001E-2</v>
      </c>
      <c r="AO8" s="58">
        <f>SUM(T7*U7)/(Q99*L125)*100%</f>
        <v>1.1111111111111112E-2</v>
      </c>
      <c r="AP8" s="58">
        <f>SUM(V7*W7)/(Q99*M125)*100%</f>
        <v>1.1764705882352941E-2</v>
      </c>
      <c r="AQ8" s="58">
        <f>SUM(X7*Y7)/(Q99*N125)*100%</f>
        <v>1.6666666666666666E-2</v>
      </c>
      <c r="AR8" s="58">
        <f>SUM(Z7*AA7)/(Q99*O125)*100%</f>
        <v>1.6666666666666666E-2</v>
      </c>
      <c r="AS8" s="58">
        <f t="shared" ref="AS8:AS15" si="1">SUM(AG8:AR8)</f>
        <v>0.22529088243484524</v>
      </c>
      <c r="AT8" s="58">
        <f t="shared" si="0"/>
        <v>1.8774240202903771E-2</v>
      </c>
    </row>
    <row r="9" spans="1:46" ht="15.5" x14ac:dyDescent="0.3">
      <c r="A9" s="68"/>
      <c r="B9" s="68"/>
      <c r="C9" s="6" t="s">
        <v>16</v>
      </c>
      <c r="D9" s="11">
        <v>1</v>
      </c>
      <c r="E9" s="9">
        <v>1</v>
      </c>
      <c r="F9" s="11">
        <v>0</v>
      </c>
      <c r="G9" s="9">
        <v>0</v>
      </c>
      <c r="H9" s="11">
        <v>0</v>
      </c>
      <c r="I9" s="9">
        <v>1</v>
      </c>
      <c r="J9" s="11">
        <v>0</v>
      </c>
      <c r="K9" s="9">
        <v>0</v>
      </c>
      <c r="L9" s="11">
        <v>1</v>
      </c>
      <c r="M9" s="9">
        <v>1</v>
      </c>
      <c r="N9" s="11">
        <v>0</v>
      </c>
      <c r="O9" s="9">
        <v>0</v>
      </c>
      <c r="P9" s="11">
        <v>1</v>
      </c>
      <c r="Q9" s="9">
        <v>1</v>
      </c>
      <c r="R9" s="11">
        <v>0</v>
      </c>
      <c r="S9" s="9">
        <v>1</v>
      </c>
      <c r="T9" s="11">
        <v>0</v>
      </c>
      <c r="U9" s="9">
        <v>0</v>
      </c>
      <c r="V9" s="11">
        <v>0</v>
      </c>
      <c r="W9" s="9">
        <v>0</v>
      </c>
      <c r="X9" s="11">
        <v>0</v>
      </c>
      <c r="Y9" s="9">
        <v>0</v>
      </c>
      <c r="Z9" s="11">
        <v>1</v>
      </c>
      <c r="AA9" s="9">
        <v>1</v>
      </c>
      <c r="AD9" s="71"/>
      <c r="AE9" s="71"/>
      <c r="AF9" s="1" t="s">
        <v>15</v>
      </c>
      <c r="AG9" s="58">
        <f>SUM(D8*E8)/(Q99*D126)*100%</f>
        <v>1.2903225806451613E-2</v>
      </c>
      <c r="AH9" s="58">
        <f>SUM(F8*G8)/(Q99*E126)*100%</f>
        <v>2.3529411764705882E-2</v>
      </c>
      <c r="AI9" s="58">
        <f>SUM(H8*I8)/(Q99*F126)*100%</f>
        <v>2.2222222222222223E-2</v>
      </c>
      <c r="AJ9" s="58">
        <f>SUM(J8*K8)/(Q99*G126)*100%</f>
        <v>1.1764705882352941E-2</v>
      </c>
      <c r="AK9" s="58">
        <f>SUM(L8*M8)/(Q99*H126)*100%</f>
        <v>1.6216216216216217E-2</v>
      </c>
      <c r="AL9" s="58">
        <f>SUM(N8*O8)/(Q99*I126)*100%</f>
        <v>6.2500000000000003E-3</v>
      </c>
      <c r="AM9" s="58">
        <f>SUM(P8*Q8)/(Q99*J126)*100%</f>
        <v>1.7142857142857144E-2</v>
      </c>
      <c r="AN9" s="58">
        <f>SUM(R8*S8)/(Q99*K126)*100%</f>
        <v>1.1428571428571429E-2</v>
      </c>
      <c r="AO9" s="58">
        <f>SUM(T8*U8)/(Q99*L126)*100%</f>
        <v>1.5789473684210527E-2</v>
      </c>
      <c r="AP9" s="58">
        <f>SUM(V8*W8)/(Q99*M126)*100%</f>
        <v>1.8749999999999999E-2</v>
      </c>
      <c r="AQ9" s="58">
        <f>SUM(X8*Y8)/(Q99*N126)*100%</f>
        <v>1.2121212121212121E-2</v>
      </c>
      <c r="AR9" s="58">
        <f>SUM(Z8*AA8)/(Q99*O126)*100%</f>
        <v>5.7142857142857143E-3</v>
      </c>
      <c r="AS9" s="58">
        <f t="shared" si="1"/>
        <v>0.17383218198308581</v>
      </c>
      <c r="AT9" s="58">
        <f t="shared" si="0"/>
        <v>1.4486015165257151E-2</v>
      </c>
    </row>
    <row r="10" spans="1:46" ht="15.5" x14ac:dyDescent="0.3">
      <c r="A10" s="68"/>
      <c r="B10" s="68"/>
      <c r="C10" s="6" t="s">
        <v>17</v>
      </c>
      <c r="D10" s="11">
        <v>2</v>
      </c>
      <c r="E10" s="9">
        <v>1</v>
      </c>
      <c r="F10" s="11">
        <v>2</v>
      </c>
      <c r="G10" s="9">
        <v>1</v>
      </c>
      <c r="H10" s="11">
        <v>2</v>
      </c>
      <c r="I10" s="9">
        <v>1</v>
      </c>
      <c r="J10" s="11">
        <v>2</v>
      </c>
      <c r="K10" s="9">
        <v>1</v>
      </c>
      <c r="L10" s="11">
        <v>2</v>
      </c>
      <c r="M10" s="9">
        <v>1</v>
      </c>
      <c r="N10" s="11">
        <v>3</v>
      </c>
      <c r="O10" s="9">
        <v>1</v>
      </c>
      <c r="P10" s="11">
        <v>1</v>
      </c>
      <c r="Q10" s="9">
        <v>1</v>
      </c>
      <c r="R10" s="11">
        <v>4</v>
      </c>
      <c r="S10" s="9">
        <v>1</v>
      </c>
      <c r="T10" s="11">
        <v>3</v>
      </c>
      <c r="U10" s="9">
        <v>1</v>
      </c>
      <c r="V10" s="11">
        <v>3</v>
      </c>
      <c r="W10" s="9">
        <v>1</v>
      </c>
      <c r="X10" s="11">
        <v>4</v>
      </c>
      <c r="Y10" s="9">
        <v>1</v>
      </c>
      <c r="Z10" s="11">
        <v>4</v>
      </c>
      <c r="AA10" s="9">
        <v>1</v>
      </c>
      <c r="AD10" s="71"/>
      <c r="AE10" s="71"/>
      <c r="AF10" s="1" t="s">
        <v>16</v>
      </c>
      <c r="AG10" s="58">
        <f>SUM(D9*E9)/(Q99*D127)*100%</f>
        <v>4.8780487804878049E-3</v>
      </c>
      <c r="AH10" s="58">
        <f>SUM(F9*G9)/(Q99*E127)*100%</f>
        <v>0</v>
      </c>
      <c r="AI10" s="58">
        <f>SUM(H9*I9)/(Q99*F127)*100%</f>
        <v>0</v>
      </c>
      <c r="AJ10" s="58">
        <f>SUM(J9*K9)/(Q99*G127)*100%</f>
        <v>0</v>
      </c>
      <c r="AK10" s="58">
        <f>SUM(L9*M9)/(Q99*H127)*100%</f>
        <v>3.9215686274509803E-3</v>
      </c>
      <c r="AL10" s="58">
        <f>SUM(N9*O9)/(Q99*I127)*100%</f>
        <v>0</v>
      </c>
      <c r="AM10" s="58">
        <f>SUM(P9*Q9)/(Q99*J127)*100%</f>
        <v>3.1746031746031746E-3</v>
      </c>
      <c r="AN10" s="58">
        <f>SUM(R9*S9)/(Q99*K127)*100%</f>
        <v>0</v>
      </c>
      <c r="AO10" s="58">
        <f>SUM(T9*U9)/(Q99*L127)*100%</f>
        <v>0</v>
      </c>
      <c r="AP10" s="58">
        <f>SUM(V9*W9)/(Q99*M127)*100%</f>
        <v>0</v>
      </c>
      <c r="AQ10" s="58">
        <f>SUM(X9*Y9)/(Q99*N127)*100%</f>
        <v>0</v>
      </c>
      <c r="AR10" s="58">
        <f>SUM(Z9*AA9)/(Q99*O127)*100%</f>
        <v>5.8823529411764705E-3</v>
      </c>
      <c r="AS10" s="58">
        <f t="shared" si="1"/>
        <v>1.785657352371843E-2</v>
      </c>
      <c r="AT10" s="58">
        <f t="shared" si="0"/>
        <v>1.4880477936432025E-3</v>
      </c>
    </row>
    <row r="11" spans="1:46" ht="15.5" x14ac:dyDescent="0.3">
      <c r="A11" s="68"/>
      <c r="B11" s="68"/>
      <c r="C11" s="6" t="s">
        <v>18</v>
      </c>
      <c r="D11" s="11">
        <v>2</v>
      </c>
      <c r="E11" s="9">
        <v>1</v>
      </c>
      <c r="F11" s="11">
        <v>3</v>
      </c>
      <c r="G11" s="9">
        <v>1</v>
      </c>
      <c r="H11" s="11">
        <v>3</v>
      </c>
      <c r="I11" s="9">
        <v>1</v>
      </c>
      <c r="J11" s="11">
        <v>1</v>
      </c>
      <c r="K11" s="9">
        <v>1</v>
      </c>
      <c r="L11" s="11">
        <v>3</v>
      </c>
      <c r="M11" s="9">
        <v>1</v>
      </c>
      <c r="N11" s="11">
        <v>2</v>
      </c>
      <c r="O11" s="9">
        <v>1</v>
      </c>
      <c r="P11" s="11">
        <v>3</v>
      </c>
      <c r="Q11" s="9">
        <v>1</v>
      </c>
      <c r="R11" s="11">
        <v>1</v>
      </c>
      <c r="S11" s="9">
        <v>1</v>
      </c>
      <c r="T11" s="11">
        <v>6</v>
      </c>
      <c r="U11" s="9">
        <v>1</v>
      </c>
      <c r="V11" s="11">
        <v>6</v>
      </c>
      <c r="W11" s="9">
        <v>1</v>
      </c>
      <c r="X11" s="11">
        <v>3</v>
      </c>
      <c r="Y11" s="9">
        <v>1</v>
      </c>
      <c r="Z11" s="11">
        <v>4</v>
      </c>
      <c r="AA11" s="9">
        <v>1</v>
      </c>
      <c r="AD11" s="71"/>
      <c r="AE11" s="71"/>
      <c r="AF11" s="1" t="s">
        <v>17</v>
      </c>
      <c r="AG11" s="58">
        <f>SUM(D10*E10)/(Q99*D128)*100%</f>
        <v>1.0810810810810811E-2</v>
      </c>
      <c r="AH11" s="58">
        <f>SUM(D10*E10)/(Q99*E128)*100%</f>
        <v>1.1764705882352941E-2</v>
      </c>
      <c r="AI11" s="58">
        <f>SUM(H10*I10)/(Q99*F128)*100%</f>
        <v>1.0526315789473684E-2</v>
      </c>
      <c r="AJ11" s="58">
        <f>SUM(J10*K10)/(Q99*G128)*100%</f>
        <v>1.5384615384615385E-2</v>
      </c>
      <c r="AK11" s="58">
        <f>SUM(L10*M10)/(Q99*H128)*100%</f>
        <v>1.0256410256410256E-2</v>
      </c>
      <c r="AL11" s="58">
        <f>SUM(N10*O10)/(Q99*I128)*100%</f>
        <v>1.1538461538461539E-2</v>
      </c>
      <c r="AM11" s="58">
        <f>SUM(P10*Q10)/(Q99*J128)*100%</f>
        <v>4.5454545454545452E-3</v>
      </c>
      <c r="AN11" s="58">
        <f>SUM(R10*S10)/(Q99*K128)*100%</f>
        <v>2.3529411764705882E-2</v>
      </c>
      <c r="AO11" s="58">
        <f>SUM(T10*U10)/(Q99*L128)*100%</f>
        <v>1.7647058823529412E-2</v>
      </c>
      <c r="AP11" s="58">
        <f>SUM(V10*W10)/(Q99*M128)*100%</f>
        <v>1.5384615384615385E-2</v>
      </c>
      <c r="AQ11" s="58">
        <f>SUM(X10*Y10)/(Q99*N128)*100%</f>
        <v>1.9047619047619049E-2</v>
      </c>
      <c r="AR11" s="58">
        <f>SUM(Z10*AA10)/(Q99*O128)*100%</f>
        <v>2.1621621621621623E-2</v>
      </c>
      <c r="AS11" s="58">
        <f t="shared" si="1"/>
        <v>0.17205710084967052</v>
      </c>
      <c r="AT11" s="58">
        <f t="shared" si="0"/>
        <v>1.4338091737472544E-2</v>
      </c>
    </row>
    <row r="12" spans="1:46" ht="15.5" x14ac:dyDescent="0.3">
      <c r="A12" s="68"/>
      <c r="B12" s="68"/>
      <c r="C12" s="6" t="s">
        <v>19</v>
      </c>
      <c r="D12" s="10">
        <v>0</v>
      </c>
      <c r="E12" s="9">
        <v>0</v>
      </c>
      <c r="F12" s="10">
        <v>0</v>
      </c>
      <c r="G12" s="9">
        <v>0</v>
      </c>
      <c r="H12" s="10">
        <v>0</v>
      </c>
      <c r="I12" s="9">
        <v>0</v>
      </c>
      <c r="J12" s="10">
        <v>1</v>
      </c>
      <c r="K12" s="9">
        <v>1</v>
      </c>
      <c r="L12" s="10">
        <v>3</v>
      </c>
      <c r="M12" s="9">
        <v>1</v>
      </c>
      <c r="N12" s="10">
        <v>3</v>
      </c>
      <c r="O12" s="9">
        <v>1</v>
      </c>
      <c r="P12" s="10">
        <v>4</v>
      </c>
      <c r="Q12" s="9">
        <v>1</v>
      </c>
      <c r="R12" s="10">
        <v>5</v>
      </c>
      <c r="S12" s="9">
        <v>1</v>
      </c>
      <c r="T12" s="10">
        <v>3</v>
      </c>
      <c r="U12" s="9">
        <v>1</v>
      </c>
      <c r="V12" s="10">
        <v>3</v>
      </c>
      <c r="W12" s="9">
        <v>1</v>
      </c>
      <c r="X12" s="10">
        <v>2</v>
      </c>
      <c r="Y12" s="9">
        <v>1</v>
      </c>
      <c r="Z12" s="10">
        <v>2</v>
      </c>
      <c r="AA12" s="9">
        <v>1</v>
      </c>
      <c r="AD12" s="71"/>
      <c r="AE12" s="71"/>
      <c r="AF12" s="1" t="s">
        <v>18</v>
      </c>
      <c r="AG12" s="58">
        <f>SUM(D11*E11)/(Q99*D129)*100%</f>
        <v>1.1764705882352941E-2</v>
      </c>
      <c r="AH12" s="58">
        <f>SUM(F11*G11)/(Q99*E129)*100%</f>
        <v>0.03</v>
      </c>
      <c r="AI12" s="58">
        <f>SUM(H11*I11)/(Q99*F129)*100%</f>
        <v>1.1538461538461539E-2</v>
      </c>
      <c r="AJ12" s="58">
        <f>SUM(J11*K11)/(Q99*G129)*100%</f>
        <v>6.4516129032258064E-3</v>
      </c>
      <c r="AK12" s="58">
        <f>SUM(L11*M11)/(Q99*H129)*100%</f>
        <v>1.7647058823529412E-2</v>
      </c>
      <c r="AL12" s="58">
        <f>SUM(O11*P11)/(Q99*I129)*100%</f>
        <v>1.276595744680851E-2</v>
      </c>
      <c r="AM12" s="58">
        <f>SUM(P11*Q11)/(Q99*J129)*100%</f>
        <v>7.1428571428571426E-3</v>
      </c>
      <c r="AN12" s="58">
        <f>SUM(R11*S11)/(Q99*K129)*100%</f>
        <v>4.6511627906976744E-3</v>
      </c>
      <c r="AO12" s="58">
        <f>SUM(T11*U11)/(Q99*L129)*100%</f>
        <v>1.5384615384615385E-2</v>
      </c>
      <c r="AP12" s="58">
        <f>SUM(V11*W11)/(Q99*M129)*100%</f>
        <v>1.8181818181818181E-2</v>
      </c>
      <c r="AQ12" s="58">
        <f>SUM(X11*Y11)/(Q99*N129)*100%</f>
        <v>7.5949367088607592E-3</v>
      </c>
      <c r="AR12" s="58">
        <f>SUM(Z11*AA11)/(Q99*O129)*100%</f>
        <v>1.1594202898550725E-2</v>
      </c>
      <c r="AS12" s="58">
        <f t="shared" si="1"/>
        <v>0.15471738970177812</v>
      </c>
      <c r="AT12" s="58">
        <f t="shared" si="0"/>
        <v>1.2893115808481509E-2</v>
      </c>
    </row>
    <row r="13" spans="1:46" ht="15.5" x14ac:dyDescent="0.3">
      <c r="A13" s="68"/>
      <c r="B13" s="68"/>
      <c r="C13" s="6" t="s">
        <v>20</v>
      </c>
      <c r="D13" s="10">
        <v>0</v>
      </c>
      <c r="E13" s="9">
        <v>0</v>
      </c>
      <c r="F13" s="10">
        <v>5</v>
      </c>
      <c r="G13" s="9">
        <v>1</v>
      </c>
      <c r="H13" s="10">
        <v>5</v>
      </c>
      <c r="I13" s="9">
        <v>1</v>
      </c>
      <c r="J13" s="10">
        <v>1</v>
      </c>
      <c r="K13" s="9">
        <v>1</v>
      </c>
      <c r="L13" s="10">
        <v>1</v>
      </c>
      <c r="M13" s="9">
        <v>1</v>
      </c>
      <c r="N13" s="10">
        <v>2</v>
      </c>
      <c r="O13" s="9">
        <v>1</v>
      </c>
      <c r="P13" s="10">
        <v>3</v>
      </c>
      <c r="Q13" s="9">
        <v>1</v>
      </c>
      <c r="R13" s="10">
        <v>0</v>
      </c>
      <c r="S13" s="9">
        <v>0</v>
      </c>
      <c r="T13" s="10">
        <v>3</v>
      </c>
      <c r="U13" s="9">
        <v>1</v>
      </c>
      <c r="V13" s="10">
        <v>3</v>
      </c>
      <c r="W13" s="9">
        <v>1</v>
      </c>
      <c r="X13" s="10">
        <v>3</v>
      </c>
      <c r="Y13" s="9">
        <v>1</v>
      </c>
      <c r="Z13" s="10">
        <v>4</v>
      </c>
      <c r="AA13" s="9">
        <v>1</v>
      </c>
      <c r="AD13" s="71"/>
      <c r="AE13" s="71"/>
      <c r="AF13" s="1" t="s">
        <v>19</v>
      </c>
      <c r="AG13" s="58">
        <f>SUM(D12*E12)/(Q99*D130)*100%</f>
        <v>0</v>
      </c>
      <c r="AH13" s="58">
        <f>SUM(F12*G12)/(Q99*E130)*100%</f>
        <v>0</v>
      </c>
      <c r="AI13" s="58">
        <f>SUM(H12*I12)/(Q99*F130)*100%</f>
        <v>0</v>
      </c>
      <c r="AJ13" s="58">
        <f>SUM(J12*K12)/(Q99*G130)*100%</f>
        <v>2.8985507246376812E-3</v>
      </c>
      <c r="AK13" s="58">
        <f>SUM(L12*M12)/(Q99*H130)*100%</f>
        <v>1.0714285714285714E-2</v>
      </c>
      <c r="AL13" s="58">
        <f>SUM(N12*O12)/(Q99*I130)*100%</f>
        <v>7.6923076923076927E-3</v>
      </c>
      <c r="AM13" s="58">
        <f>SUM(P12*Q12)/(Q99*J130)*100%</f>
        <v>0.02</v>
      </c>
      <c r="AN13" s="58">
        <f>SUM(R12*S12)/(Q99*K130)*100%</f>
        <v>3.3333333333333333E-2</v>
      </c>
      <c r="AO13" s="58">
        <f>SUM(T12*U12)/(Q99*L130)*100%</f>
        <v>1.2500000000000001E-2</v>
      </c>
      <c r="AP13" s="58">
        <f>SUM(V12*W12)/(Q99*M130)*100%</f>
        <v>1.090909090909091E-2</v>
      </c>
      <c r="AQ13" s="58">
        <f>SUM(X12*Y12)/(Q99*N130)*100%</f>
        <v>5.8823529411764705E-3</v>
      </c>
      <c r="AR13" s="58">
        <f>SUM(Z12*AA12)/(Q99*O130)*100%</f>
        <v>5.9701492537313433E-3</v>
      </c>
      <c r="AS13" s="58">
        <f t="shared" si="1"/>
        <v>0.10990007056856316</v>
      </c>
      <c r="AT13" s="58">
        <f t="shared" si="0"/>
        <v>9.1583392140469292E-3</v>
      </c>
    </row>
    <row r="14" spans="1:46" ht="15.5" x14ac:dyDescent="0.3">
      <c r="A14" s="69"/>
      <c r="B14" s="69"/>
      <c r="C14" s="6" t="s">
        <v>21</v>
      </c>
      <c r="D14" s="10">
        <v>2</v>
      </c>
      <c r="E14" s="9">
        <v>1</v>
      </c>
      <c r="F14" s="10">
        <v>2</v>
      </c>
      <c r="G14" s="9">
        <v>1</v>
      </c>
      <c r="H14" s="10">
        <v>2</v>
      </c>
      <c r="I14" s="9">
        <v>1</v>
      </c>
      <c r="J14" s="10">
        <v>1</v>
      </c>
      <c r="K14" s="9">
        <v>1</v>
      </c>
      <c r="L14" s="10">
        <v>4</v>
      </c>
      <c r="M14" s="9">
        <v>1</v>
      </c>
      <c r="N14" s="10">
        <v>2</v>
      </c>
      <c r="O14" s="9">
        <v>1</v>
      </c>
      <c r="P14" s="10">
        <v>0</v>
      </c>
      <c r="Q14" s="9">
        <v>0</v>
      </c>
      <c r="R14" s="10">
        <v>2</v>
      </c>
      <c r="S14" s="9">
        <v>1</v>
      </c>
      <c r="T14" s="10">
        <v>2</v>
      </c>
      <c r="U14" s="9">
        <v>1</v>
      </c>
      <c r="V14" s="10">
        <v>2</v>
      </c>
      <c r="W14" s="9">
        <v>1</v>
      </c>
      <c r="X14" s="10">
        <v>1</v>
      </c>
      <c r="Y14" s="9">
        <v>1</v>
      </c>
      <c r="Z14" s="10">
        <v>2</v>
      </c>
      <c r="AA14" s="9">
        <v>1</v>
      </c>
      <c r="AD14" s="71"/>
      <c r="AE14" s="71"/>
      <c r="AF14" s="1" t="s">
        <v>20</v>
      </c>
      <c r="AG14" s="58">
        <f>SUM(D13*E13)/(Q99*D131)*100%</f>
        <v>0</v>
      </c>
      <c r="AH14" s="58">
        <f>SUM(F13*G13)/(Q99*E131)*100%</f>
        <v>1.8518518518518517E-2</v>
      </c>
      <c r="AI14" s="58">
        <f>SUM(H13*I13)/(Q99*F131)*100%</f>
        <v>1.7857142857142856E-2</v>
      </c>
      <c r="AJ14" s="58">
        <f>SUM(J13*K13)/(Q99*G131)*100%</f>
        <v>3.8461538461538464E-3</v>
      </c>
      <c r="AK14" s="58">
        <f>SUM(L13*M13)/(Q99*H131)*100%</f>
        <v>3.1746031746031746E-3</v>
      </c>
      <c r="AL14" s="58">
        <f>SUM(N13*O13)/(Q99*I131)*100%</f>
        <v>6.8965517241379309E-3</v>
      </c>
      <c r="AM14" s="58">
        <f>SUM(P13*Q13)/(Q99*J131)*100%</f>
        <v>8.8235294117647058E-3</v>
      </c>
      <c r="AN14" s="58">
        <f>SUM(R13*S13)/(Q99*K131)*100%</f>
        <v>0</v>
      </c>
      <c r="AO14" s="58">
        <f>SUM(T13*U13)/(Q99*L131)*100%</f>
        <v>7.7922077922077922E-3</v>
      </c>
      <c r="AP14" s="58">
        <f>SUM(V13*W13)/(Q99*M131)*100%</f>
        <v>0.01</v>
      </c>
      <c r="AQ14" s="58">
        <f>SUM(X13*Y13)/(Q99*N131)*100%</f>
        <v>1.0344827586206896E-2</v>
      </c>
      <c r="AR14" s="58">
        <f>SUM(Z13*AA13)/(Q99*O131)*100%</f>
        <v>1.1594202898550725E-2</v>
      </c>
      <c r="AS14" s="58">
        <f t="shared" si="1"/>
        <v>9.8847737809286462E-2</v>
      </c>
      <c r="AT14" s="58">
        <f t="shared" si="0"/>
        <v>8.2373114841072046E-3</v>
      </c>
    </row>
    <row r="15" spans="1:46" ht="15.5" x14ac:dyDescent="0.3">
      <c r="A15" s="59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D15" s="71"/>
      <c r="AE15" s="71"/>
      <c r="AF15" s="1" t="s">
        <v>21</v>
      </c>
      <c r="AG15" s="58">
        <f>SUM(D14*E14)/(Q99*D132)*100%</f>
        <v>9.0909090909090905E-3</v>
      </c>
      <c r="AH15" s="58">
        <f>SUM(F14*G14)/(Q99*E132)*100%</f>
        <v>6.8965517241379309E-3</v>
      </c>
      <c r="AI15" s="58">
        <f>SUM(H14*I14)/(Q99*F132)*100%</f>
        <v>5.8823529411764705E-3</v>
      </c>
      <c r="AJ15" s="58">
        <f>SUM(J14*K14)/(Q99*G132)*100%</f>
        <v>3.7037037037037038E-3</v>
      </c>
      <c r="AK15" s="58">
        <f>SUM(L14*M14)/(Q99*H132)*100%</f>
        <v>1.038961038961039E-2</v>
      </c>
      <c r="AL15" s="58">
        <f>SUM(N14*O14)/(Q99*I132)*100%</f>
        <v>6.0606060606060606E-3</v>
      </c>
      <c r="AM15" s="58">
        <f>SUM(P14*Q14)/(Q99*J132)*100%</f>
        <v>0</v>
      </c>
      <c r="AN15" s="58">
        <f>SUM(R14*S14)/(Q99*K132)*100%</f>
        <v>8.1632653061224497E-3</v>
      </c>
      <c r="AO15" s="58">
        <f>SUM(T14*U14)/(Q99*L132)*100%</f>
        <v>5.9701492537313433E-3</v>
      </c>
      <c r="AP15" s="58">
        <f>SUM(V14*W14)/(Q99*M132)*100%</f>
        <v>6.0606060606060606E-3</v>
      </c>
      <c r="AQ15" s="58">
        <f>SUM(X14*Y14)/(Q99*N132)*100%</f>
        <v>3.1250000000000002E-3</v>
      </c>
      <c r="AR15" s="58">
        <f>SUM(Z14*AA14)/(Q99*O132)*100%</f>
        <v>8.8888888888888889E-3</v>
      </c>
      <c r="AS15" s="58">
        <f t="shared" si="1"/>
        <v>7.4231643419492385E-2</v>
      </c>
      <c r="AT15" s="58">
        <f t="shared" si="0"/>
        <v>6.1859702849576988E-3</v>
      </c>
    </row>
    <row r="16" spans="1:46" ht="15.5" x14ac:dyDescent="0.3">
      <c r="A16" s="9" t="s">
        <v>0</v>
      </c>
      <c r="B16" s="9" t="s">
        <v>1</v>
      </c>
      <c r="C16" s="67" t="s">
        <v>2</v>
      </c>
      <c r="D16" s="76" t="s">
        <v>3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D16" s="71"/>
      <c r="AE16" s="71"/>
      <c r="AF16" s="1" t="s">
        <v>48</v>
      </c>
      <c r="AG16" s="58">
        <f>SUM(AG7:AG15)</f>
        <v>7.5744870182333016E-2</v>
      </c>
      <c r="AH16" s="58">
        <f t="shared" ref="AH16:AR16" si="2">SUM(AH7:AH15)</f>
        <v>0.11176181946866263</v>
      </c>
      <c r="AI16" s="58">
        <f t="shared" si="2"/>
        <v>9.0883638205619621E-2</v>
      </c>
      <c r="AJ16" s="58">
        <f t="shared" si="2"/>
        <v>7.5716009111356036E-2</v>
      </c>
      <c r="AK16" s="58">
        <f t="shared" si="2"/>
        <v>9.1069753202106155E-2</v>
      </c>
      <c r="AL16" s="58">
        <f t="shared" si="2"/>
        <v>7.4061027319464581E-2</v>
      </c>
      <c r="AM16" s="58">
        <f t="shared" si="2"/>
        <v>7.5644116232351538E-2</v>
      </c>
      <c r="AN16" s="58">
        <f t="shared" si="2"/>
        <v>0.10610574462343077</v>
      </c>
      <c r="AO16" s="58">
        <f t="shared" si="2"/>
        <v>9.5083504938294469E-2</v>
      </c>
      <c r="AP16" s="58">
        <f t="shared" si="2"/>
        <v>9.6456241823888886E-2</v>
      </c>
      <c r="AQ16" s="58">
        <f t="shared" si="2"/>
        <v>7.4782615071741956E-2</v>
      </c>
      <c r="AR16" s="58">
        <f t="shared" si="2"/>
        <v>8.7932370883472166E-2</v>
      </c>
      <c r="AS16" s="58">
        <f>SUM(AS7:AS15)</f>
        <v>1.0552417110627217</v>
      </c>
      <c r="AT16" s="58"/>
    </row>
    <row r="17" spans="1:46" ht="15.5" x14ac:dyDescent="0.3">
      <c r="A17" s="67">
        <v>2</v>
      </c>
      <c r="B17" s="67" t="s">
        <v>23</v>
      </c>
      <c r="C17" s="68"/>
      <c r="D17" s="76" t="s">
        <v>4</v>
      </c>
      <c r="E17" s="77"/>
      <c r="F17" s="77"/>
      <c r="G17" s="77"/>
      <c r="H17" s="77"/>
      <c r="I17" s="77"/>
      <c r="J17" s="77"/>
      <c r="K17" s="78"/>
      <c r="L17" s="76" t="s">
        <v>11</v>
      </c>
      <c r="M17" s="77"/>
      <c r="N17" s="77"/>
      <c r="O17" s="77"/>
      <c r="P17" s="77"/>
      <c r="Q17" s="77"/>
      <c r="R17" s="77"/>
      <c r="S17" s="78"/>
      <c r="T17" s="76" t="s">
        <v>12</v>
      </c>
      <c r="U17" s="77"/>
      <c r="V17" s="77"/>
      <c r="W17" s="77"/>
      <c r="X17" s="77"/>
      <c r="Y17" s="77"/>
      <c r="Z17" s="77"/>
      <c r="AA17" s="78"/>
      <c r="AD17" s="72"/>
      <c r="AE17" s="72"/>
      <c r="AF17" s="1" t="s">
        <v>47</v>
      </c>
      <c r="AG17" s="58">
        <f t="shared" ref="AG17:AR17" si="3">AVERAGE(AG7:AG15)</f>
        <v>8.4160966869258908E-3</v>
      </c>
      <c r="AH17" s="58">
        <f t="shared" si="3"/>
        <v>1.2417979940962515E-2</v>
      </c>
      <c r="AI17" s="58">
        <f t="shared" si="3"/>
        <v>1.0098182022846625E-2</v>
      </c>
      <c r="AJ17" s="58">
        <f t="shared" si="3"/>
        <v>8.412889901261782E-3</v>
      </c>
      <c r="AK17" s="58">
        <f t="shared" si="3"/>
        <v>1.0118861466900685E-2</v>
      </c>
      <c r="AL17" s="58">
        <f t="shared" si="3"/>
        <v>8.2290030354960648E-3</v>
      </c>
      <c r="AM17" s="58">
        <f t="shared" si="3"/>
        <v>8.4049018035946155E-3</v>
      </c>
      <c r="AN17" s="58">
        <f t="shared" si="3"/>
        <v>1.1789527180381197E-2</v>
      </c>
      <c r="AO17" s="58">
        <f t="shared" si="3"/>
        <v>1.0564833882032719E-2</v>
      </c>
      <c r="AP17" s="58">
        <f t="shared" si="3"/>
        <v>1.0717360202654321E-2</v>
      </c>
      <c r="AQ17" s="58">
        <f t="shared" si="3"/>
        <v>8.3091794524157731E-3</v>
      </c>
      <c r="AR17" s="58">
        <f t="shared" si="3"/>
        <v>9.7702634314969072E-3</v>
      </c>
      <c r="AS17" s="58"/>
      <c r="AT17" s="58"/>
    </row>
    <row r="18" spans="1:46" ht="15.5" x14ac:dyDescent="0.3">
      <c r="A18" s="68"/>
      <c r="B18" s="68"/>
      <c r="C18" s="69"/>
      <c r="D18" s="12" t="s">
        <v>5</v>
      </c>
      <c r="E18" s="12" t="s">
        <v>6</v>
      </c>
      <c r="F18" s="12" t="s">
        <v>7</v>
      </c>
      <c r="G18" s="12" t="s">
        <v>6</v>
      </c>
      <c r="H18" s="12" t="s">
        <v>8</v>
      </c>
      <c r="I18" s="12" t="s">
        <v>9</v>
      </c>
      <c r="J18" s="12" t="s">
        <v>10</v>
      </c>
      <c r="K18" s="12" t="s">
        <v>6</v>
      </c>
      <c r="L18" s="12" t="s">
        <v>5</v>
      </c>
      <c r="M18" s="12" t="s">
        <v>6</v>
      </c>
      <c r="N18" s="12" t="s">
        <v>7</v>
      </c>
      <c r="O18" s="12" t="s">
        <v>6</v>
      </c>
      <c r="P18" s="12" t="s">
        <v>8</v>
      </c>
      <c r="Q18" s="12" t="s">
        <v>9</v>
      </c>
      <c r="R18" s="12" t="s">
        <v>10</v>
      </c>
      <c r="S18" s="12" t="s">
        <v>6</v>
      </c>
      <c r="T18" s="12" t="s">
        <v>5</v>
      </c>
      <c r="U18" s="12" t="s">
        <v>6</v>
      </c>
      <c r="V18" s="12" t="s">
        <v>7</v>
      </c>
      <c r="W18" s="12" t="s">
        <v>6</v>
      </c>
      <c r="X18" s="12" t="s">
        <v>8</v>
      </c>
      <c r="Y18" s="12" t="s">
        <v>9</v>
      </c>
      <c r="Z18" s="12" t="s">
        <v>10</v>
      </c>
      <c r="AA18" s="12" t="s">
        <v>6</v>
      </c>
      <c r="AD18" s="61"/>
      <c r="AE18" s="61"/>
      <c r="AF18" s="15"/>
    </row>
    <row r="19" spans="1:46" ht="15.5" x14ac:dyDescent="0.3">
      <c r="A19" s="68"/>
      <c r="B19" s="68"/>
      <c r="C19" s="7" t="s">
        <v>13</v>
      </c>
      <c r="D19" s="10">
        <v>3</v>
      </c>
      <c r="E19" s="9">
        <v>2</v>
      </c>
      <c r="F19" s="10">
        <v>3</v>
      </c>
      <c r="G19" s="9">
        <v>2</v>
      </c>
      <c r="H19" s="10">
        <v>2</v>
      </c>
      <c r="I19" s="9">
        <v>2</v>
      </c>
      <c r="J19" s="10">
        <v>1</v>
      </c>
      <c r="K19" s="9">
        <v>2</v>
      </c>
      <c r="L19" s="10">
        <v>3</v>
      </c>
      <c r="M19" s="9">
        <v>2</v>
      </c>
      <c r="N19" s="10">
        <v>3</v>
      </c>
      <c r="O19" s="9">
        <v>2</v>
      </c>
      <c r="P19" s="10">
        <v>2</v>
      </c>
      <c r="Q19" s="9">
        <v>3</v>
      </c>
      <c r="R19" s="10">
        <v>1</v>
      </c>
      <c r="S19" s="9">
        <v>2</v>
      </c>
      <c r="T19" s="10">
        <v>4</v>
      </c>
      <c r="U19" s="9">
        <v>3</v>
      </c>
      <c r="V19" s="10">
        <v>3</v>
      </c>
      <c r="W19" s="9">
        <v>3</v>
      </c>
      <c r="X19" s="10">
        <v>3</v>
      </c>
      <c r="Y19" s="9">
        <v>2</v>
      </c>
      <c r="Z19" s="10">
        <v>1</v>
      </c>
      <c r="AA19" s="9">
        <v>2</v>
      </c>
      <c r="AD19" s="61"/>
      <c r="AE19" s="61"/>
      <c r="AF19" s="15"/>
    </row>
    <row r="20" spans="1:46" ht="15.5" x14ac:dyDescent="0.3">
      <c r="A20" s="68"/>
      <c r="B20" s="68"/>
      <c r="C20" s="7" t="s">
        <v>14</v>
      </c>
      <c r="D20" s="10">
        <v>2</v>
      </c>
      <c r="E20" s="9">
        <v>2</v>
      </c>
      <c r="F20" s="10">
        <v>3</v>
      </c>
      <c r="G20" s="9">
        <v>1</v>
      </c>
      <c r="H20" s="10">
        <v>2</v>
      </c>
      <c r="I20" s="9">
        <v>2</v>
      </c>
      <c r="J20" s="10">
        <v>4</v>
      </c>
      <c r="K20" s="9">
        <v>3</v>
      </c>
      <c r="L20" s="10">
        <v>3</v>
      </c>
      <c r="M20" s="9">
        <v>5</v>
      </c>
      <c r="N20" s="10">
        <v>3</v>
      </c>
      <c r="O20" s="9">
        <v>3</v>
      </c>
      <c r="P20" s="10">
        <v>4</v>
      </c>
      <c r="Q20" s="9">
        <v>3</v>
      </c>
      <c r="R20" s="10">
        <v>2</v>
      </c>
      <c r="S20" s="9">
        <v>3</v>
      </c>
      <c r="T20" s="10">
        <v>3</v>
      </c>
      <c r="U20" s="9">
        <v>3</v>
      </c>
      <c r="V20" s="10">
        <v>5</v>
      </c>
      <c r="W20" s="9">
        <v>2</v>
      </c>
      <c r="X20" s="10">
        <v>0</v>
      </c>
      <c r="Y20" s="9">
        <v>0</v>
      </c>
      <c r="Z20" s="10">
        <v>2</v>
      </c>
      <c r="AA20" s="9">
        <v>2</v>
      </c>
      <c r="AD20" s="3" t="s">
        <v>29</v>
      </c>
      <c r="AE20" s="3" t="s">
        <v>1</v>
      </c>
      <c r="AF20" s="73" t="s">
        <v>2</v>
      </c>
      <c r="AG20" s="75" t="s">
        <v>3</v>
      </c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3"/>
      <c r="AT20" s="70" t="s">
        <v>47</v>
      </c>
    </row>
    <row r="21" spans="1:46" ht="15.5" x14ac:dyDescent="0.3">
      <c r="A21" s="68"/>
      <c r="B21" s="68"/>
      <c r="C21" s="7" t="s">
        <v>15</v>
      </c>
      <c r="D21" s="10">
        <v>3</v>
      </c>
      <c r="E21" s="9">
        <v>2</v>
      </c>
      <c r="F21" s="10">
        <v>3</v>
      </c>
      <c r="G21" s="9">
        <v>2</v>
      </c>
      <c r="H21" s="10">
        <v>2</v>
      </c>
      <c r="I21" s="9">
        <v>3</v>
      </c>
      <c r="J21" s="10">
        <v>3</v>
      </c>
      <c r="K21" s="9">
        <v>3</v>
      </c>
      <c r="L21" s="10">
        <v>4</v>
      </c>
      <c r="M21" s="9">
        <v>2</v>
      </c>
      <c r="N21" s="10">
        <v>3</v>
      </c>
      <c r="O21" s="9">
        <v>2</v>
      </c>
      <c r="P21" s="10">
        <v>4</v>
      </c>
      <c r="Q21" s="9">
        <v>3</v>
      </c>
      <c r="R21" s="10">
        <v>2</v>
      </c>
      <c r="S21" s="9">
        <v>3</v>
      </c>
      <c r="T21" s="10">
        <v>3</v>
      </c>
      <c r="U21" s="9">
        <v>2</v>
      </c>
      <c r="V21" s="10">
        <v>3</v>
      </c>
      <c r="W21" s="9">
        <v>3</v>
      </c>
      <c r="X21" s="10">
        <v>2</v>
      </c>
      <c r="Y21" s="9">
        <v>2</v>
      </c>
      <c r="Z21" s="10">
        <v>2</v>
      </c>
      <c r="AA21" s="9">
        <v>3</v>
      </c>
      <c r="AD21" s="70">
        <v>2</v>
      </c>
      <c r="AE21" s="70" t="s">
        <v>23</v>
      </c>
      <c r="AF21" s="73"/>
      <c r="AG21" s="75" t="s">
        <v>4</v>
      </c>
      <c r="AH21" s="75"/>
      <c r="AI21" s="75"/>
      <c r="AJ21" s="75"/>
      <c r="AK21" s="75" t="s">
        <v>11</v>
      </c>
      <c r="AL21" s="75"/>
      <c r="AM21" s="75"/>
      <c r="AN21" s="75"/>
      <c r="AO21" s="75" t="s">
        <v>12</v>
      </c>
      <c r="AP21" s="75"/>
      <c r="AQ21" s="75"/>
      <c r="AR21" s="75"/>
      <c r="AS21" s="3" t="s">
        <v>48</v>
      </c>
      <c r="AT21" s="71"/>
    </row>
    <row r="22" spans="1:46" ht="15.5" x14ac:dyDescent="0.3">
      <c r="A22" s="68"/>
      <c r="B22" s="68"/>
      <c r="C22" s="7" t="s">
        <v>16</v>
      </c>
      <c r="D22" s="11">
        <v>3</v>
      </c>
      <c r="E22" s="9">
        <v>3</v>
      </c>
      <c r="F22" s="11">
        <v>4</v>
      </c>
      <c r="G22" s="9">
        <v>3</v>
      </c>
      <c r="H22" s="11">
        <v>2</v>
      </c>
      <c r="I22" s="9">
        <v>2</v>
      </c>
      <c r="J22" s="11">
        <v>5</v>
      </c>
      <c r="K22" s="9">
        <v>2</v>
      </c>
      <c r="L22" s="11">
        <v>2</v>
      </c>
      <c r="M22" s="9">
        <v>3</v>
      </c>
      <c r="N22" s="11">
        <v>3</v>
      </c>
      <c r="O22" s="9">
        <v>3</v>
      </c>
      <c r="P22" s="11">
        <v>4</v>
      </c>
      <c r="Q22" s="9">
        <v>2</v>
      </c>
      <c r="R22" s="11">
        <v>5</v>
      </c>
      <c r="S22" s="9">
        <v>2</v>
      </c>
      <c r="T22" s="11">
        <v>6</v>
      </c>
      <c r="U22" s="9">
        <v>2</v>
      </c>
      <c r="V22" s="11">
        <v>4</v>
      </c>
      <c r="W22" s="9">
        <v>3</v>
      </c>
      <c r="X22" s="11">
        <v>5</v>
      </c>
      <c r="Y22" s="9">
        <v>1</v>
      </c>
      <c r="Z22" s="11">
        <v>6</v>
      </c>
      <c r="AA22" s="9">
        <v>1</v>
      </c>
      <c r="AD22" s="71"/>
      <c r="AE22" s="71"/>
      <c r="AF22" s="73"/>
      <c r="AG22" s="2" t="s">
        <v>5</v>
      </c>
      <c r="AH22" s="2" t="s">
        <v>7</v>
      </c>
      <c r="AI22" s="2" t="s">
        <v>8</v>
      </c>
      <c r="AJ22" s="2" t="s">
        <v>10</v>
      </c>
      <c r="AK22" s="2" t="s">
        <v>5</v>
      </c>
      <c r="AL22" s="2" t="s">
        <v>7</v>
      </c>
      <c r="AM22" s="2" t="s">
        <v>8</v>
      </c>
      <c r="AN22" s="2" t="s">
        <v>10</v>
      </c>
      <c r="AO22" s="2" t="s">
        <v>5</v>
      </c>
      <c r="AP22" s="2" t="s">
        <v>7</v>
      </c>
      <c r="AQ22" s="2" t="s">
        <v>8</v>
      </c>
      <c r="AR22" s="2" t="s">
        <v>10</v>
      </c>
      <c r="AS22" s="2"/>
      <c r="AT22" s="72"/>
    </row>
    <row r="23" spans="1:46" ht="15.5" x14ac:dyDescent="0.3">
      <c r="A23" s="68"/>
      <c r="B23" s="68"/>
      <c r="C23" s="7" t="s">
        <v>17</v>
      </c>
      <c r="D23" s="11">
        <v>4</v>
      </c>
      <c r="E23" s="9">
        <v>2</v>
      </c>
      <c r="F23" s="11">
        <v>5</v>
      </c>
      <c r="G23" s="9">
        <v>1</v>
      </c>
      <c r="H23" s="11">
        <v>3</v>
      </c>
      <c r="I23" s="9">
        <v>3</v>
      </c>
      <c r="J23" s="11">
        <v>4</v>
      </c>
      <c r="K23" s="9">
        <v>4</v>
      </c>
      <c r="L23" s="11">
        <v>2</v>
      </c>
      <c r="M23" s="9">
        <v>2</v>
      </c>
      <c r="N23" s="11">
        <v>5</v>
      </c>
      <c r="O23" s="9">
        <v>1</v>
      </c>
      <c r="P23" s="11">
        <v>4</v>
      </c>
      <c r="Q23" s="9">
        <v>3</v>
      </c>
      <c r="R23" s="11">
        <v>6</v>
      </c>
      <c r="S23" s="9">
        <v>3</v>
      </c>
      <c r="T23" s="11">
        <v>5</v>
      </c>
      <c r="U23" s="9">
        <v>2</v>
      </c>
      <c r="V23" s="11">
        <v>6</v>
      </c>
      <c r="W23" s="9">
        <v>2</v>
      </c>
      <c r="X23" s="11">
        <v>7</v>
      </c>
      <c r="Y23" s="9">
        <v>2</v>
      </c>
      <c r="Z23" s="11">
        <v>5</v>
      </c>
      <c r="AA23" s="9">
        <v>2</v>
      </c>
      <c r="AD23" s="71"/>
      <c r="AE23" s="71"/>
      <c r="AF23" s="1" t="s">
        <v>13</v>
      </c>
      <c r="AG23" s="58">
        <f>SUM(D19*E19)/(Q99*D137)*100%</f>
        <v>0.02</v>
      </c>
      <c r="AH23" s="58">
        <f>SUM(F19*G19)/(Q99*E137)*100%</f>
        <v>3.7499999999999999E-2</v>
      </c>
      <c r="AI23" s="58">
        <f>SUM(H19*I19)/(Q99*F137)*100%</f>
        <v>1.1940298507462687E-2</v>
      </c>
      <c r="AJ23" s="58">
        <f>SUM(J19*K19)/(Q99*G137)*100%</f>
        <v>6.3492063492063492E-3</v>
      </c>
      <c r="AK23" s="58">
        <f>SUM(L19*M19)/(Q99*H137)*100%</f>
        <v>0.04</v>
      </c>
      <c r="AL23" s="58">
        <f>SUM(N19*O19)/(Q99*I137)*100%</f>
        <v>1.643835616438356E-2</v>
      </c>
      <c r="AM23" s="58">
        <f>SUM(P19*Q19)/(Q99*J137)*100%</f>
        <v>1.935483870967742E-2</v>
      </c>
      <c r="AN23" s="58">
        <f>SUM(R19*S19)/(Q99*K137)*100%</f>
        <v>9.3023255813953487E-3</v>
      </c>
      <c r="AO23" s="58">
        <f>SUM(T19*U19)/(Q99*L137)*100%</f>
        <v>4.4444444444444446E-2</v>
      </c>
      <c r="AP23" s="58">
        <f>SUM(V19*W19)/(Q99*M137)*100%</f>
        <v>2.4E-2</v>
      </c>
      <c r="AQ23" s="58">
        <f>SUM(X19*Y19)/(Q99*N137)*100%</f>
        <v>2.6666666666666668E-2</v>
      </c>
      <c r="AR23" s="58">
        <f>SUM(Z19*AA19)/(Q99*O137)*100%</f>
        <v>5.0632911392405064E-3</v>
      </c>
      <c r="AS23" s="58">
        <f>SUM(AG23:AR23)</f>
        <v>0.26105942756247696</v>
      </c>
      <c r="AT23" s="58">
        <f t="shared" ref="AT23:AT31" si="4">AVERAGE(AG23:AR23)</f>
        <v>2.1754952296873079E-2</v>
      </c>
    </row>
    <row r="24" spans="1:46" ht="15.5" x14ac:dyDescent="0.3">
      <c r="A24" s="68"/>
      <c r="B24" s="68"/>
      <c r="C24" s="7" t="s">
        <v>18</v>
      </c>
      <c r="D24" s="11">
        <v>6</v>
      </c>
      <c r="E24" s="9">
        <v>3</v>
      </c>
      <c r="F24" s="11">
        <v>1</v>
      </c>
      <c r="G24" s="9">
        <v>2</v>
      </c>
      <c r="H24" s="11">
        <v>2</v>
      </c>
      <c r="I24" s="9">
        <v>1</v>
      </c>
      <c r="J24" s="11">
        <v>4</v>
      </c>
      <c r="K24" s="9">
        <v>2</v>
      </c>
      <c r="L24" s="11">
        <v>4</v>
      </c>
      <c r="M24" s="9">
        <v>2</v>
      </c>
      <c r="N24" s="11">
        <v>3</v>
      </c>
      <c r="O24" s="9">
        <v>2</v>
      </c>
      <c r="P24" s="11">
        <v>4</v>
      </c>
      <c r="Q24" s="9">
        <v>1</v>
      </c>
      <c r="R24" s="11">
        <v>5</v>
      </c>
      <c r="S24" s="9">
        <v>1</v>
      </c>
      <c r="T24" s="11">
        <v>2</v>
      </c>
      <c r="U24" s="9">
        <v>3</v>
      </c>
      <c r="V24" s="11">
        <v>5</v>
      </c>
      <c r="W24" s="9">
        <v>2</v>
      </c>
      <c r="X24" s="11">
        <v>4</v>
      </c>
      <c r="Y24" s="9">
        <v>1</v>
      </c>
      <c r="Z24" s="11">
        <v>5</v>
      </c>
      <c r="AA24" s="9">
        <v>2</v>
      </c>
      <c r="AD24" s="71"/>
      <c r="AE24" s="71"/>
      <c r="AF24" s="1" t="s">
        <v>14</v>
      </c>
      <c r="AG24" s="58">
        <f>SUM(D20*E20)/(Q99*D138)*100%</f>
        <v>0.02</v>
      </c>
      <c r="AH24" s="58">
        <f>SUM(F20*G20)/(Q99*E138)*100%</f>
        <v>1.4285714285714285E-2</v>
      </c>
      <c r="AI24" s="58">
        <f>SUM(H20*I20)/(Q99*F138)*100%</f>
        <v>0.02</v>
      </c>
      <c r="AJ24" s="58">
        <f>SUM(J20*K20)/(Q99*G138)*100%</f>
        <v>6.3157894736842107E-2</v>
      </c>
      <c r="AK24" s="58">
        <f>SUM(L20*M20)/(Q99*H138)*100%</f>
        <v>7.3170731707317069E-2</v>
      </c>
      <c r="AL24" s="58">
        <f>SUM(N20*O20)/(Q99*I138)*100%</f>
        <v>4.2857142857142858E-2</v>
      </c>
      <c r="AM24" s="58">
        <f>SUM(P20*Q20)/(Q99*J138)*100%</f>
        <v>0.06</v>
      </c>
      <c r="AN24" s="58">
        <f>SUM(R20*S20)/(Q99*K138)*100%</f>
        <v>2.7272727272727271E-2</v>
      </c>
      <c r="AO24" s="58">
        <f>SUM(T20*U20)/(Q99*L138)*100%</f>
        <v>4.2857142857142858E-2</v>
      </c>
      <c r="AP24" s="58">
        <f>SUM(V20*W20)/(Q99*M138)*100%</f>
        <v>4.878048780487805E-2</v>
      </c>
      <c r="AQ24" s="58">
        <f>SUM(X20*Y20)/(Q99*N138)*100%</f>
        <v>0</v>
      </c>
      <c r="AR24" s="58">
        <f>SUM(Z20*AA20)/(Q99*O138)*100%</f>
        <v>1.9512195121951219E-2</v>
      </c>
      <c r="AS24" s="58">
        <f t="shared" ref="AS24:AS31" si="5">SUM(AG24:AR24)</f>
        <v>0.43189403664371573</v>
      </c>
      <c r="AT24" s="58">
        <f t="shared" si="4"/>
        <v>3.5991169720309642E-2</v>
      </c>
    </row>
    <row r="25" spans="1:46" ht="15.5" x14ac:dyDescent="0.3">
      <c r="A25" s="68"/>
      <c r="B25" s="68"/>
      <c r="C25" s="7" t="s">
        <v>19</v>
      </c>
      <c r="D25" s="10">
        <v>0</v>
      </c>
      <c r="E25" s="9">
        <v>2</v>
      </c>
      <c r="F25" s="10">
        <v>2</v>
      </c>
      <c r="G25" s="9">
        <v>2</v>
      </c>
      <c r="H25" s="10">
        <v>4</v>
      </c>
      <c r="I25" s="9">
        <v>2</v>
      </c>
      <c r="J25" s="10">
        <v>3</v>
      </c>
      <c r="K25" s="9">
        <v>2</v>
      </c>
      <c r="L25" s="10">
        <v>2</v>
      </c>
      <c r="M25" s="9">
        <v>1</v>
      </c>
      <c r="N25" s="10">
        <v>4</v>
      </c>
      <c r="O25" s="9">
        <v>2</v>
      </c>
      <c r="P25" s="10">
        <v>1</v>
      </c>
      <c r="Q25" s="9">
        <v>2</v>
      </c>
      <c r="R25" s="10">
        <v>2</v>
      </c>
      <c r="S25" s="9">
        <v>3</v>
      </c>
      <c r="T25" s="10">
        <v>2</v>
      </c>
      <c r="U25" s="9">
        <v>2</v>
      </c>
      <c r="V25" s="10">
        <v>3</v>
      </c>
      <c r="W25" s="9">
        <v>2</v>
      </c>
      <c r="X25" s="10">
        <v>1</v>
      </c>
      <c r="Y25" s="9">
        <v>3</v>
      </c>
      <c r="Z25" s="10">
        <v>4</v>
      </c>
      <c r="AA25" s="9">
        <v>2</v>
      </c>
      <c r="AD25" s="71"/>
      <c r="AE25" s="71"/>
      <c r="AF25" s="1" t="s">
        <v>15</v>
      </c>
      <c r="AG25" s="58">
        <f>SUM(D21*E21)/(Q99*D139)*100%</f>
        <v>2.7906976744186046E-2</v>
      </c>
      <c r="AH25" s="58">
        <f>SUM(F21*G21)/(Q99*E139)*100%</f>
        <v>2.6666666666666668E-2</v>
      </c>
      <c r="AI25" s="58">
        <f>SUM(H21*I21)/(Q99*F139)*100%</f>
        <v>2.6666666666666668E-2</v>
      </c>
      <c r="AJ25" s="58">
        <f>SUM(J21*K21)/(Q99*G139)*100%</f>
        <v>3.9130434782608699E-2</v>
      </c>
      <c r="AK25" s="58">
        <f>SUM(L21*M21)/(Q99*H138)*100%</f>
        <v>3.9024390243902439E-2</v>
      </c>
      <c r="AL25" s="58">
        <f>SUM(N21*O21)/(Q99*I139)*100%</f>
        <v>2.553191489361702E-2</v>
      </c>
      <c r="AM25" s="58">
        <f>SUM(P21*Q21)/(Q99*J139)*100%</f>
        <v>5.8536585365853662E-2</v>
      </c>
      <c r="AN25" s="58">
        <f>SUM(R21*S21)/(Q99*K139)*100%</f>
        <v>0.03</v>
      </c>
      <c r="AO25" s="58">
        <f>SUM(T21*U21)/(Q99*L139)*100%</f>
        <v>2.6666666666666668E-2</v>
      </c>
      <c r="AP25" s="58">
        <f>SUM(V21*W21)/(Q99*M139)*100%</f>
        <v>4.1860465116279069E-2</v>
      </c>
      <c r="AQ25" s="58">
        <f>SUM(X21*Y21)/(Q99*N139)*100%</f>
        <v>1.7391304347826087E-2</v>
      </c>
      <c r="AR25" s="58">
        <f>SUM(Z21*AA21)/(Q99*O139)*100%</f>
        <v>0.03</v>
      </c>
      <c r="AS25" s="58">
        <f t="shared" si="5"/>
        <v>0.38938207149427306</v>
      </c>
      <c r="AT25" s="58">
        <f t="shared" si="4"/>
        <v>3.2448505957856089E-2</v>
      </c>
    </row>
    <row r="26" spans="1:46" ht="15.5" x14ac:dyDescent="0.3">
      <c r="A26" s="68"/>
      <c r="B26" s="68"/>
      <c r="C26" s="7" t="s">
        <v>20</v>
      </c>
      <c r="D26" s="10">
        <v>2</v>
      </c>
      <c r="E26" s="9">
        <v>2</v>
      </c>
      <c r="F26" s="10">
        <v>1</v>
      </c>
      <c r="G26" s="9">
        <v>3</v>
      </c>
      <c r="H26" s="10">
        <v>1</v>
      </c>
      <c r="I26" s="9">
        <v>3</v>
      </c>
      <c r="J26" s="10">
        <v>3</v>
      </c>
      <c r="K26" s="9">
        <v>2</v>
      </c>
      <c r="L26" s="10">
        <v>3</v>
      </c>
      <c r="M26" s="9">
        <v>2</v>
      </c>
      <c r="N26" s="10">
        <v>4</v>
      </c>
      <c r="O26" s="9">
        <v>1</v>
      </c>
      <c r="P26" s="10">
        <v>2</v>
      </c>
      <c r="Q26" s="9">
        <v>3</v>
      </c>
      <c r="R26" s="10">
        <v>2</v>
      </c>
      <c r="S26" s="9">
        <v>2</v>
      </c>
      <c r="T26" s="10">
        <v>3</v>
      </c>
      <c r="U26" s="9">
        <v>3</v>
      </c>
      <c r="V26" s="10">
        <v>3</v>
      </c>
      <c r="W26" s="9">
        <v>2</v>
      </c>
      <c r="X26" s="10">
        <v>2</v>
      </c>
      <c r="Y26" s="9">
        <v>2</v>
      </c>
      <c r="Z26" s="10">
        <v>1</v>
      </c>
      <c r="AA26" s="9">
        <v>2</v>
      </c>
      <c r="AD26" s="71"/>
      <c r="AE26" s="71"/>
      <c r="AF26" s="1" t="s">
        <v>16</v>
      </c>
      <c r="AG26" s="58">
        <f>SUM(D22*E22)/(Q99*D140)*100%</f>
        <v>3.6734693877551024E-2</v>
      </c>
      <c r="AH26" s="58">
        <f>SUM(F22*G22)/(Q99*E140)*100%</f>
        <v>8.8888888888888892E-2</v>
      </c>
      <c r="AI26" s="58">
        <f>SUM(H22*I22)/(Q99*F140)*100%</f>
        <v>1.5686274509803921E-2</v>
      </c>
      <c r="AJ26" s="58">
        <f>SUM(J22*K22)/(Q99*G140)*100%</f>
        <v>3.1746031746031744E-2</v>
      </c>
      <c r="AK26" s="58">
        <f>SUM(L22*M22)/(Q99*H140)*100%</f>
        <v>1.6666666666666666E-2</v>
      </c>
      <c r="AL26" s="58">
        <f>SUM(N22*O22)/(Q99*I140)*100%</f>
        <v>3.214285714285714E-2</v>
      </c>
      <c r="AM26" s="58">
        <f>SUM(P22*Q22)/(Q99*J140)*100%</f>
        <v>3.8095238095238099E-2</v>
      </c>
      <c r="AN26" s="58">
        <f>SUM(R22*S22)/(Q99*K140)*100%</f>
        <v>4.6511627906976744E-2</v>
      </c>
      <c r="AO26" s="58">
        <f>SUM(T22*U22)/(Q99*L140)*100%</f>
        <v>0.04</v>
      </c>
      <c r="AP26" s="58">
        <f>SUM(V22*W22)/(Q99*M140)*100%</f>
        <v>0.05</v>
      </c>
      <c r="AQ26" s="58">
        <f>SUM(X22*Y22)/(Q99*N140)*100%</f>
        <v>3.4482758620689655E-2</v>
      </c>
      <c r="AR26" s="58">
        <f>SUM(Z22*AA22)/(Q99*O140)*100%</f>
        <v>3.5294117647058823E-2</v>
      </c>
      <c r="AS26" s="58">
        <f t="shared" si="5"/>
        <v>0.46624915510176262</v>
      </c>
      <c r="AT26" s="58">
        <f t="shared" si="4"/>
        <v>3.8854096258480221E-2</v>
      </c>
    </row>
    <row r="27" spans="1:46" ht="15.5" x14ac:dyDescent="0.3">
      <c r="A27" s="69"/>
      <c r="B27" s="69"/>
      <c r="C27" s="7" t="s">
        <v>21</v>
      </c>
      <c r="D27" s="10">
        <v>3</v>
      </c>
      <c r="E27" s="9">
        <v>2</v>
      </c>
      <c r="F27" s="10">
        <v>4</v>
      </c>
      <c r="G27" s="9">
        <v>3</v>
      </c>
      <c r="H27" s="10">
        <v>3</v>
      </c>
      <c r="I27" s="9">
        <v>2</v>
      </c>
      <c r="J27" s="10">
        <v>2</v>
      </c>
      <c r="K27" s="9">
        <v>3</v>
      </c>
      <c r="L27" s="10">
        <v>1</v>
      </c>
      <c r="M27" s="9">
        <v>2</v>
      </c>
      <c r="N27" s="10">
        <v>3</v>
      </c>
      <c r="O27" s="9">
        <v>2</v>
      </c>
      <c r="P27" s="10">
        <v>3</v>
      </c>
      <c r="Q27" s="9">
        <v>1</v>
      </c>
      <c r="R27" s="10">
        <v>3</v>
      </c>
      <c r="S27" s="9">
        <v>3</v>
      </c>
      <c r="T27" s="10">
        <v>3</v>
      </c>
      <c r="U27" s="9">
        <v>2</v>
      </c>
      <c r="V27" s="10">
        <v>4</v>
      </c>
      <c r="W27" s="9">
        <v>3</v>
      </c>
      <c r="X27" s="10">
        <v>2</v>
      </c>
      <c r="Y27" s="9">
        <v>2</v>
      </c>
      <c r="Z27" s="10">
        <v>2</v>
      </c>
      <c r="AA27" s="9">
        <v>3</v>
      </c>
      <c r="AD27" s="71"/>
      <c r="AE27" s="71"/>
      <c r="AF27" s="1" t="s">
        <v>17</v>
      </c>
      <c r="AG27" s="58">
        <f>SUM(D23*E23)/(Q99*D141)*100%</f>
        <v>3.5555555555555556E-2</v>
      </c>
      <c r="AH27" s="58">
        <f>SUM(F23*G23)/(Q99*E141)*100%</f>
        <v>2.0833333333333332E-2</v>
      </c>
      <c r="AI27" s="58">
        <f>SUM(H23*I23)/(Q99*F141)*100%</f>
        <v>4.4999999999999998E-2</v>
      </c>
      <c r="AJ27" s="58">
        <f>SUM(J23*K23)/(Q99*G141)*100%</f>
        <v>0.1391304347826087</v>
      </c>
      <c r="AK27" s="58">
        <f>SUM(L23*M23)/(Q99*H141)*100%</f>
        <v>1.8181818181818181E-2</v>
      </c>
      <c r="AL27" s="58">
        <f>SUM(N23*O23)/(Q99*I141)*100%</f>
        <v>2.3255813953488372E-2</v>
      </c>
      <c r="AM27" s="58">
        <f>SUM(P23*Q23)/(Q99*J141)*100%</f>
        <v>5.4545454545454543E-2</v>
      </c>
      <c r="AN27" s="58">
        <f>SUM(R23*S23)/(Q99*K141)*100%</f>
        <v>7.3469387755102047E-2</v>
      </c>
      <c r="AO27" s="58">
        <f>SUM(T23*U23)/(Q99*L141)*100%</f>
        <v>4.5454545454545456E-2</v>
      </c>
      <c r="AP27" s="58">
        <f>SUM(V23*W23)/(Q99*M141)*100%</f>
        <v>0.05</v>
      </c>
      <c r="AQ27" s="58">
        <f>SUM(X23*Y23)/(Q99*N141)*100%</f>
        <v>6.0869565217391307E-2</v>
      </c>
      <c r="AR27" s="58">
        <f>SUM(Z23*AA23)/(Q99*O141)*100%</f>
        <v>5.128205128205128E-2</v>
      </c>
      <c r="AS27" s="58">
        <f t="shared" si="5"/>
        <v>0.6175779600613488</v>
      </c>
      <c r="AT27" s="58">
        <f t="shared" si="4"/>
        <v>5.14648300051124E-2</v>
      </c>
    </row>
    <row r="28" spans="1:46" ht="15.5" x14ac:dyDescent="0.3">
      <c r="A28" s="59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D28" s="71"/>
      <c r="AE28" s="71"/>
      <c r="AF28" s="1" t="s">
        <v>18</v>
      </c>
      <c r="AG28" s="58">
        <f>SUM(D24*E24)/(Q99*D142)*100%</f>
        <v>8.7804878048780483E-2</v>
      </c>
      <c r="AH28" s="58">
        <f>SUM(F24*G24)/(Q99*E142)*100%</f>
        <v>5.0000000000000001E-3</v>
      </c>
      <c r="AI28" s="58">
        <f>SUM(H24*I24)/(Q99*F142)*100%</f>
        <v>9.5238095238095247E-3</v>
      </c>
      <c r="AJ28" s="58">
        <f>SUM(J24*K24)/(Q99*G142)*100%</f>
        <v>4.3243243243243246E-2</v>
      </c>
      <c r="AK28" s="58">
        <f>SUM(L24*M24)/(Q99*H142)*100%</f>
        <v>3.6363636363636362E-2</v>
      </c>
      <c r="AL28" s="58">
        <f>SUM(N24*O24)/(Q99*I142)*100%</f>
        <v>1.9672131147540985E-2</v>
      </c>
      <c r="AM28" s="58">
        <f>SUM(P24*Q24)/(Q99*J142)*100%</f>
        <v>1.7391304347826087E-2</v>
      </c>
      <c r="AN28" s="58">
        <f>SUM(R24*S24)/(Q99*K142)*100%</f>
        <v>2.3809523809523808E-2</v>
      </c>
      <c r="AO28" s="58">
        <f>SUM(T24*U24)/(Q99*L142)*100%</f>
        <v>1.4814814814814815E-2</v>
      </c>
      <c r="AP28" s="58">
        <f>SUM(V24*W24)/(Q99*M142)*100%</f>
        <v>3.9215686274509803E-2</v>
      </c>
      <c r="AQ28" s="58">
        <f>SUM(X24*Y24)/(Q99*N142)*100%</f>
        <v>1.0958904109589041E-2</v>
      </c>
      <c r="AR28" s="58">
        <f>SUM(Z24*AA24)/(Q99*O142)*100%</f>
        <v>3.5714285714285712E-2</v>
      </c>
      <c r="AS28" s="58">
        <f t="shared" si="5"/>
        <v>0.34351221739755994</v>
      </c>
      <c r="AT28" s="58">
        <f t="shared" si="4"/>
        <v>2.8626018116463328E-2</v>
      </c>
    </row>
    <row r="29" spans="1:46" ht="15.5" x14ac:dyDescent="0.3">
      <c r="A29" s="9" t="s">
        <v>0</v>
      </c>
      <c r="B29" s="9" t="s">
        <v>1</v>
      </c>
      <c r="C29" s="79" t="s">
        <v>2</v>
      </c>
      <c r="D29" s="74" t="s">
        <v>3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D29" s="71"/>
      <c r="AE29" s="71"/>
      <c r="AF29" s="1" t="s">
        <v>19</v>
      </c>
      <c r="AG29" s="58">
        <f>SUM(D25*E25)/(Q99*D143)*100%</f>
        <v>0</v>
      </c>
      <c r="AH29" s="58">
        <f>SUM(F25*G25)/(Q99*E143)*100%</f>
        <v>8.988764044943821E-3</v>
      </c>
      <c r="AI29" s="58">
        <f>SUM(H25*I25)/(Q99*F143)*100%</f>
        <v>2.1333333333333333E-2</v>
      </c>
      <c r="AJ29" s="58">
        <f>SUM(J25*K25)/(Q99*G143)*100%</f>
        <v>1.9047619047619049E-2</v>
      </c>
      <c r="AK29" s="58">
        <f>SUM(L25*M25)/(Q99*H143)*100%</f>
        <v>9.5238095238095247E-3</v>
      </c>
      <c r="AL29" s="58">
        <f>SUM(N25*O25)/(Q99*I143)*100%</f>
        <v>2.0253164556962026E-2</v>
      </c>
      <c r="AM29" s="58">
        <f>SUM(P25*Q25)/(Q99*J143)*100%</f>
        <v>5.4794520547945206E-3</v>
      </c>
      <c r="AN29" s="58">
        <f>SUM(R25*S25)/(Q99*K143)*100%</f>
        <v>1.3953488372093023E-2</v>
      </c>
      <c r="AO29" s="58">
        <f>SUM(U25*V25)/(Q99*L143)*100%</f>
        <v>1.6E-2</v>
      </c>
      <c r="AP29" s="58">
        <f>SUM(V25*W25)/(Q99*M143)*100%</f>
        <v>1.7142857142857144E-2</v>
      </c>
      <c r="AQ29" s="58">
        <f>SUM(X25*Y25)/(Q99*N143)*100%</f>
        <v>6.382978723404255E-3</v>
      </c>
      <c r="AR29" s="58">
        <f>SUM(Z25*AA25)/(Q99*O143)*100%</f>
        <v>2.1621621621621623E-2</v>
      </c>
      <c r="AS29" s="58">
        <f t="shared" si="5"/>
        <v>0.15972708842143835</v>
      </c>
      <c r="AT29" s="58">
        <f t="shared" si="4"/>
        <v>1.3310590701786529E-2</v>
      </c>
    </row>
    <row r="30" spans="1:46" ht="15.5" x14ac:dyDescent="0.3">
      <c r="A30" s="67">
        <v>3</v>
      </c>
      <c r="B30" s="67" t="s">
        <v>24</v>
      </c>
      <c r="C30" s="79"/>
      <c r="D30" s="74" t="s">
        <v>4</v>
      </c>
      <c r="E30" s="74"/>
      <c r="F30" s="74"/>
      <c r="G30" s="74"/>
      <c r="H30" s="74"/>
      <c r="I30" s="74"/>
      <c r="J30" s="74"/>
      <c r="K30" s="74"/>
      <c r="L30" s="74" t="s">
        <v>11</v>
      </c>
      <c r="M30" s="74"/>
      <c r="N30" s="74"/>
      <c r="O30" s="74"/>
      <c r="P30" s="74"/>
      <c r="Q30" s="74"/>
      <c r="R30" s="74"/>
      <c r="S30" s="74"/>
      <c r="T30" s="74" t="s">
        <v>12</v>
      </c>
      <c r="U30" s="74"/>
      <c r="V30" s="74"/>
      <c r="W30" s="74"/>
      <c r="X30" s="74"/>
      <c r="Y30" s="74"/>
      <c r="Z30" s="74"/>
      <c r="AA30" s="74"/>
      <c r="AD30" s="71"/>
      <c r="AE30" s="71"/>
      <c r="AF30" s="1" t="s">
        <v>20</v>
      </c>
      <c r="AG30" s="58">
        <f>SUM(D26*E26)/(Q99*D144)*100%</f>
        <v>1.3793103448275862E-2</v>
      </c>
      <c r="AH30" s="58">
        <f>SUM(F26*G26)/(Q99*E144)*100%</f>
        <v>7.6923076923076927E-3</v>
      </c>
      <c r="AI30" s="58">
        <f>SUM(H26*I26)/(Q99*F144)*100%</f>
        <v>8.21917808219178E-3</v>
      </c>
      <c r="AJ30" s="58">
        <f>SUM(J26*K26)/(Q99*G144)*100%</f>
        <v>1.8461538461538463E-2</v>
      </c>
      <c r="AK30" s="58">
        <f>SUM(L26*M26)/(Q99*H144)*100%</f>
        <v>2.4489795918367346E-2</v>
      </c>
      <c r="AL30" s="58">
        <f>SUM(N26*O26)/(Q99*I144)*100%</f>
        <v>1.509433962264151E-2</v>
      </c>
      <c r="AM30" s="58">
        <f>SUM(P26*Q26)/(Q99*J144)*100%</f>
        <v>1.4999999999999999E-2</v>
      </c>
      <c r="AN30" s="58">
        <f>SUM(R26*S26)/(Q99*K144)*100%</f>
        <v>1.0666666666666666E-2</v>
      </c>
      <c r="AO30" s="58">
        <f>SUM(T26*U26)/(Q99*L144)*100%</f>
        <v>1.6216216216216217E-2</v>
      </c>
      <c r="AP30" s="58">
        <f>SUM(V26*W26)/(Q99*M144)*100%</f>
        <v>2.2641509433962263E-2</v>
      </c>
      <c r="AQ30" s="58">
        <f>SUM(X26*Y26)/(Q99*N144)*100%</f>
        <v>7.2072072072072073E-3</v>
      </c>
      <c r="AR30" s="58">
        <f>SUM(Z26*AA26)/(Q99*O144)*100%</f>
        <v>5.4794520547945206E-3</v>
      </c>
      <c r="AS30" s="58">
        <f t="shared" si="5"/>
        <v>0.16496131480416953</v>
      </c>
      <c r="AT30" s="58">
        <f t="shared" si="4"/>
        <v>1.3746776233680794E-2</v>
      </c>
    </row>
    <row r="31" spans="1:46" ht="15.5" x14ac:dyDescent="0.3">
      <c r="A31" s="68"/>
      <c r="B31" s="68"/>
      <c r="C31" s="79"/>
      <c r="D31" s="9" t="s">
        <v>5</v>
      </c>
      <c r="E31" s="9" t="s">
        <v>6</v>
      </c>
      <c r="F31" s="9" t="s">
        <v>7</v>
      </c>
      <c r="G31" s="9" t="s">
        <v>6</v>
      </c>
      <c r="H31" s="9" t="s">
        <v>8</v>
      </c>
      <c r="I31" s="9" t="s">
        <v>9</v>
      </c>
      <c r="J31" s="9" t="s">
        <v>10</v>
      </c>
      <c r="K31" s="9" t="s">
        <v>6</v>
      </c>
      <c r="L31" s="9" t="s">
        <v>5</v>
      </c>
      <c r="M31" s="9" t="s">
        <v>6</v>
      </c>
      <c r="N31" s="9" t="s">
        <v>7</v>
      </c>
      <c r="O31" s="9" t="s">
        <v>6</v>
      </c>
      <c r="P31" s="9" t="s">
        <v>8</v>
      </c>
      <c r="Q31" s="9" t="s">
        <v>9</v>
      </c>
      <c r="R31" s="9" t="s">
        <v>10</v>
      </c>
      <c r="S31" s="9" t="s">
        <v>6</v>
      </c>
      <c r="T31" s="9" t="s">
        <v>5</v>
      </c>
      <c r="U31" s="9" t="s">
        <v>6</v>
      </c>
      <c r="V31" s="9" t="s">
        <v>7</v>
      </c>
      <c r="W31" s="9" t="s">
        <v>6</v>
      </c>
      <c r="X31" s="9" t="s">
        <v>8</v>
      </c>
      <c r="Y31" s="9" t="s">
        <v>9</v>
      </c>
      <c r="Z31" s="9" t="s">
        <v>10</v>
      </c>
      <c r="AA31" s="9" t="s">
        <v>6</v>
      </c>
      <c r="AD31" s="71"/>
      <c r="AE31" s="71"/>
      <c r="AF31" s="1" t="s">
        <v>21</v>
      </c>
      <c r="AG31" s="58">
        <f>SUM(D27*E27)/(Q99*D145)*100%</f>
        <v>2.5000000000000001E-2</v>
      </c>
      <c r="AH31" s="58">
        <f>SUM(F27*G27)/(Q99*E145)*100%</f>
        <v>3.8095238095238099E-2</v>
      </c>
      <c r="AI31" s="58">
        <f>SUM(H27*I27)/(Q99*F145)*100%</f>
        <v>1.5189873417721518E-2</v>
      </c>
      <c r="AJ31" s="58">
        <f>SUM(J27*K27)/(Q99*G145)*100%</f>
        <v>1.6E-2</v>
      </c>
      <c r="AK31" s="58">
        <f>SUM(L27*M27)/(Q99*H145)*100%</f>
        <v>4.8780487804878049E-3</v>
      </c>
      <c r="AL31" s="58">
        <f>SUM(N27*O27)/(Q99*I145)*100%</f>
        <v>1.6216216216216217E-2</v>
      </c>
      <c r="AM31" s="58">
        <f>SUM(P27*Q27)/(Q99*J145)*100%</f>
        <v>9.3749999999999997E-3</v>
      </c>
      <c r="AN31" s="58">
        <f>SUM(R27*S27)/(Q99*K145)*100%</f>
        <v>2.4324324324324326E-2</v>
      </c>
      <c r="AO31" s="58">
        <f>SUM(T27*U27)/(Q99*L145)*100%</f>
        <v>1.7391304347826087E-2</v>
      </c>
      <c r="AP31" s="58">
        <f>SUM(V27*W27)/(Q99*M145)*100%</f>
        <v>4.8979591836734691E-2</v>
      </c>
      <c r="AQ31" s="58">
        <f>SUM(X27*Y27)/(Q99*N145)*100%</f>
        <v>9.4117647058823521E-3</v>
      </c>
      <c r="AR31" s="58">
        <f>SUM(Z27*AA27)/(Q99*O145)*100%</f>
        <v>1.3793103448275862E-2</v>
      </c>
      <c r="AS31" s="58">
        <f t="shared" si="5"/>
        <v>0.23865446517270694</v>
      </c>
      <c r="AT31" s="58">
        <f t="shared" si="4"/>
        <v>1.9887872097725579E-2</v>
      </c>
    </row>
    <row r="32" spans="1:46" ht="15.5" x14ac:dyDescent="0.3">
      <c r="A32" s="68"/>
      <c r="B32" s="68"/>
      <c r="C32" s="6" t="s">
        <v>13</v>
      </c>
      <c r="D32" s="10">
        <v>1</v>
      </c>
      <c r="E32" s="9">
        <v>1</v>
      </c>
      <c r="F32" s="10">
        <v>0</v>
      </c>
      <c r="G32" s="9">
        <v>0</v>
      </c>
      <c r="H32" s="10">
        <v>2</v>
      </c>
      <c r="I32" s="9">
        <v>3</v>
      </c>
      <c r="J32" s="10">
        <v>3</v>
      </c>
      <c r="K32" s="9">
        <v>2</v>
      </c>
      <c r="L32" s="10">
        <v>0</v>
      </c>
      <c r="M32" s="9">
        <v>0</v>
      </c>
      <c r="N32" s="10">
        <v>2</v>
      </c>
      <c r="O32" s="9">
        <v>2</v>
      </c>
      <c r="P32" s="10">
        <v>2</v>
      </c>
      <c r="Q32" s="9">
        <v>2</v>
      </c>
      <c r="R32" s="10">
        <v>1</v>
      </c>
      <c r="S32" s="9">
        <v>2</v>
      </c>
      <c r="T32" s="10">
        <v>2</v>
      </c>
      <c r="U32" s="9">
        <v>3</v>
      </c>
      <c r="V32" s="10">
        <v>1</v>
      </c>
      <c r="W32" s="9">
        <v>3</v>
      </c>
      <c r="X32" s="10">
        <v>2</v>
      </c>
      <c r="Y32" s="9">
        <v>3</v>
      </c>
      <c r="Z32" s="10">
        <v>2</v>
      </c>
      <c r="AA32" s="9">
        <v>2</v>
      </c>
      <c r="AD32" s="71"/>
      <c r="AE32" s="71"/>
      <c r="AF32" s="1" t="s">
        <v>48</v>
      </c>
      <c r="AG32" s="58">
        <f>SUM(AG23:AG31)</f>
        <v>0.266795207674349</v>
      </c>
      <c r="AH32" s="58">
        <f t="shared" ref="AH32:AR32" si="6">SUM(AH23:AH31)</f>
        <v>0.24795091300709279</v>
      </c>
      <c r="AI32" s="58">
        <f t="shared" si="6"/>
        <v>0.17355943404098945</v>
      </c>
      <c r="AJ32" s="58">
        <f t="shared" si="6"/>
        <v>0.37626640314969839</v>
      </c>
      <c r="AK32" s="58">
        <f t="shared" si="6"/>
        <v>0.26229889738600537</v>
      </c>
      <c r="AL32" s="58">
        <f t="shared" si="6"/>
        <v>0.21146193655484968</v>
      </c>
      <c r="AM32" s="58">
        <f t="shared" si="6"/>
        <v>0.27777787311884433</v>
      </c>
      <c r="AN32" s="58">
        <f t="shared" si="6"/>
        <v>0.25931007168880926</v>
      </c>
      <c r="AO32" s="58">
        <f t="shared" si="6"/>
        <v>0.26384513480165656</v>
      </c>
      <c r="AP32" s="58">
        <f t="shared" si="6"/>
        <v>0.34262059760922098</v>
      </c>
      <c r="AQ32" s="58">
        <f t="shared" si="6"/>
        <v>0.1733711495986566</v>
      </c>
      <c r="AR32" s="58">
        <f t="shared" si="6"/>
        <v>0.21776011802927953</v>
      </c>
      <c r="AS32" s="58">
        <f>SUM(AS23:AS31)</f>
        <v>3.0730177366594518</v>
      </c>
      <c r="AT32" s="58"/>
    </row>
    <row r="33" spans="1:46" ht="15.5" x14ac:dyDescent="0.3">
      <c r="A33" s="68"/>
      <c r="B33" s="68"/>
      <c r="C33" s="6" t="s">
        <v>14</v>
      </c>
      <c r="D33" s="10">
        <v>2</v>
      </c>
      <c r="E33" s="9">
        <v>2</v>
      </c>
      <c r="F33" s="10">
        <v>3</v>
      </c>
      <c r="G33" s="9">
        <v>3</v>
      </c>
      <c r="H33" s="10">
        <v>4</v>
      </c>
      <c r="I33" s="9">
        <v>2</v>
      </c>
      <c r="J33" s="10">
        <v>2</v>
      </c>
      <c r="K33" s="9">
        <v>1</v>
      </c>
      <c r="L33" s="10">
        <v>3</v>
      </c>
      <c r="M33" s="9">
        <v>2</v>
      </c>
      <c r="N33" s="10">
        <v>2</v>
      </c>
      <c r="O33" s="9">
        <v>2</v>
      </c>
      <c r="P33" s="10">
        <v>3</v>
      </c>
      <c r="Q33" s="9">
        <v>3</v>
      </c>
      <c r="R33" s="10">
        <v>5</v>
      </c>
      <c r="S33" s="9">
        <v>2</v>
      </c>
      <c r="T33" s="10">
        <v>3</v>
      </c>
      <c r="U33" s="9">
        <v>3</v>
      </c>
      <c r="V33" s="10">
        <v>2</v>
      </c>
      <c r="W33" s="9">
        <v>4</v>
      </c>
      <c r="X33" s="10">
        <v>0</v>
      </c>
      <c r="Y33" s="9">
        <v>0</v>
      </c>
      <c r="Z33" s="10">
        <v>2</v>
      </c>
      <c r="AA33" s="9">
        <v>3</v>
      </c>
      <c r="AD33" s="72"/>
      <c r="AE33" s="72"/>
      <c r="AF33" s="1" t="s">
        <v>47</v>
      </c>
      <c r="AG33" s="58">
        <f t="shared" ref="AG33:AR33" si="7">AVERAGE(AG23:AG31)</f>
        <v>2.9643911963816556E-2</v>
      </c>
      <c r="AH33" s="58">
        <f t="shared" si="7"/>
        <v>2.7550101445232532E-2</v>
      </c>
      <c r="AI33" s="58">
        <f t="shared" si="7"/>
        <v>1.9284381560109937E-2</v>
      </c>
      <c r="AJ33" s="58">
        <f t="shared" si="7"/>
        <v>4.1807378127744266E-2</v>
      </c>
      <c r="AK33" s="58">
        <f t="shared" si="7"/>
        <v>2.9144321931778374E-2</v>
      </c>
      <c r="AL33" s="58">
        <f t="shared" si="7"/>
        <v>2.3495770728316632E-2</v>
      </c>
      <c r="AM33" s="58">
        <f t="shared" si="7"/>
        <v>3.0864208124316037E-2</v>
      </c>
      <c r="AN33" s="58">
        <f t="shared" si="7"/>
        <v>2.8812230187645473E-2</v>
      </c>
      <c r="AO33" s="58">
        <f t="shared" si="7"/>
        <v>2.9316126089072952E-2</v>
      </c>
      <c r="AP33" s="58">
        <f t="shared" si="7"/>
        <v>3.8068955289913442E-2</v>
      </c>
      <c r="AQ33" s="58">
        <f t="shared" si="7"/>
        <v>1.9263461066517398E-2</v>
      </c>
      <c r="AR33" s="58">
        <f t="shared" si="7"/>
        <v>2.4195568669919947E-2</v>
      </c>
      <c r="AS33" s="58"/>
      <c r="AT33" s="58"/>
    </row>
    <row r="34" spans="1:46" ht="15.5" x14ac:dyDescent="0.3">
      <c r="A34" s="68"/>
      <c r="B34" s="68"/>
      <c r="C34" s="6" t="s">
        <v>15</v>
      </c>
      <c r="D34" s="10">
        <v>3</v>
      </c>
      <c r="E34" s="9">
        <v>2</v>
      </c>
      <c r="F34" s="10">
        <v>4</v>
      </c>
      <c r="G34" s="9">
        <v>2</v>
      </c>
      <c r="H34" s="10">
        <v>5</v>
      </c>
      <c r="I34" s="9">
        <v>2</v>
      </c>
      <c r="J34" s="10">
        <v>2</v>
      </c>
      <c r="K34" s="9">
        <v>2</v>
      </c>
      <c r="L34" s="10">
        <v>3</v>
      </c>
      <c r="M34" s="9">
        <v>3</v>
      </c>
      <c r="N34" s="10">
        <v>6</v>
      </c>
      <c r="O34" s="9">
        <v>3</v>
      </c>
      <c r="P34" s="10">
        <v>3</v>
      </c>
      <c r="Q34" s="9">
        <v>3</v>
      </c>
      <c r="R34" s="10">
        <v>2</v>
      </c>
      <c r="S34" s="9">
        <v>3</v>
      </c>
      <c r="T34" s="10">
        <v>4</v>
      </c>
      <c r="U34" s="9">
        <v>4</v>
      </c>
      <c r="V34" s="10">
        <v>3</v>
      </c>
      <c r="W34" s="9">
        <v>3</v>
      </c>
      <c r="X34" s="10">
        <v>2</v>
      </c>
      <c r="Y34" s="9">
        <v>4</v>
      </c>
      <c r="Z34" s="10">
        <v>2</v>
      </c>
      <c r="AA34" s="9">
        <v>3</v>
      </c>
      <c r="AD34" s="61"/>
      <c r="AE34" s="61"/>
      <c r="AF34" s="15"/>
    </row>
    <row r="35" spans="1:46" ht="15.5" x14ac:dyDescent="0.3">
      <c r="A35" s="68"/>
      <c r="B35" s="68"/>
      <c r="C35" s="6" t="s">
        <v>16</v>
      </c>
      <c r="D35" s="11">
        <v>4</v>
      </c>
      <c r="E35" s="9">
        <v>2</v>
      </c>
      <c r="F35" s="11">
        <v>5</v>
      </c>
      <c r="G35" s="9">
        <v>2</v>
      </c>
      <c r="H35" s="11">
        <v>3</v>
      </c>
      <c r="I35" s="9">
        <v>3</v>
      </c>
      <c r="J35" s="11">
        <v>7</v>
      </c>
      <c r="K35" s="9">
        <v>2</v>
      </c>
      <c r="L35" s="11">
        <v>4</v>
      </c>
      <c r="M35" s="9">
        <v>2</v>
      </c>
      <c r="N35" s="11">
        <v>5</v>
      </c>
      <c r="O35" s="9">
        <v>2</v>
      </c>
      <c r="P35" s="11">
        <v>6</v>
      </c>
      <c r="Q35" s="9">
        <v>4</v>
      </c>
      <c r="R35" s="11">
        <v>7</v>
      </c>
      <c r="S35" s="9">
        <v>2</v>
      </c>
      <c r="T35" s="11">
        <v>7</v>
      </c>
      <c r="U35" s="9">
        <v>3</v>
      </c>
      <c r="V35" s="11">
        <v>5</v>
      </c>
      <c r="W35" s="9">
        <v>4</v>
      </c>
      <c r="X35" s="11">
        <v>8</v>
      </c>
      <c r="Y35" s="9">
        <v>4</v>
      </c>
      <c r="Z35" s="11">
        <v>7</v>
      </c>
      <c r="AA35" s="9">
        <v>3</v>
      </c>
      <c r="AD35" s="61"/>
      <c r="AE35" s="61"/>
      <c r="AF35" s="15"/>
    </row>
    <row r="36" spans="1:46" ht="15.5" x14ac:dyDescent="0.3">
      <c r="A36" s="68"/>
      <c r="B36" s="68"/>
      <c r="C36" s="6" t="s">
        <v>17</v>
      </c>
      <c r="D36" s="11">
        <v>5</v>
      </c>
      <c r="E36" s="9">
        <v>2</v>
      </c>
      <c r="F36" s="11">
        <v>6</v>
      </c>
      <c r="G36" s="9">
        <v>3</v>
      </c>
      <c r="H36" s="11">
        <v>6</v>
      </c>
      <c r="I36" s="9">
        <v>2</v>
      </c>
      <c r="J36" s="11">
        <v>5</v>
      </c>
      <c r="K36" s="9">
        <v>2</v>
      </c>
      <c r="L36" s="11">
        <v>3</v>
      </c>
      <c r="M36" s="9">
        <v>2</v>
      </c>
      <c r="N36" s="11">
        <v>7</v>
      </c>
      <c r="O36" s="9">
        <v>3</v>
      </c>
      <c r="P36" s="11">
        <v>5</v>
      </c>
      <c r="Q36" s="9">
        <v>3</v>
      </c>
      <c r="R36" s="11">
        <v>8</v>
      </c>
      <c r="S36" s="9">
        <v>3</v>
      </c>
      <c r="T36" s="11">
        <v>6</v>
      </c>
      <c r="U36" s="9">
        <v>4</v>
      </c>
      <c r="V36" s="11">
        <v>8</v>
      </c>
      <c r="W36" s="9">
        <v>5</v>
      </c>
      <c r="X36" s="11">
        <v>9</v>
      </c>
      <c r="Y36" s="9">
        <v>3</v>
      </c>
      <c r="Z36" s="11">
        <v>8</v>
      </c>
      <c r="AA36" s="9">
        <v>3</v>
      </c>
      <c r="AD36" s="3" t="s">
        <v>29</v>
      </c>
      <c r="AE36" s="3" t="s">
        <v>1</v>
      </c>
      <c r="AF36" s="73" t="s">
        <v>2</v>
      </c>
      <c r="AG36" s="75" t="s">
        <v>3</v>
      </c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3"/>
      <c r="AT36" s="70" t="s">
        <v>47</v>
      </c>
    </row>
    <row r="37" spans="1:46" ht="15.5" x14ac:dyDescent="0.3">
      <c r="A37" s="68"/>
      <c r="B37" s="68"/>
      <c r="C37" s="6" t="s">
        <v>18</v>
      </c>
      <c r="D37" s="11">
        <v>7</v>
      </c>
      <c r="E37" s="9">
        <v>3</v>
      </c>
      <c r="F37" s="11">
        <v>4</v>
      </c>
      <c r="G37" s="9">
        <v>3</v>
      </c>
      <c r="H37" s="11">
        <v>5</v>
      </c>
      <c r="I37" s="9">
        <v>3</v>
      </c>
      <c r="J37" s="11">
        <v>5</v>
      </c>
      <c r="K37" s="9">
        <v>3</v>
      </c>
      <c r="L37" s="11">
        <v>6</v>
      </c>
      <c r="M37" s="9">
        <v>2</v>
      </c>
      <c r="N37" s="11">
        <v>5</v>
      </c>
      <c r="O37" s="9">
        <v>2</v>
      </c>
      <c r="P37" s="11">
        <v>4</v>
      </c>
      <c r="Q37" s="9">
        <v>3</v>
      </c>
      <c r="R37" s="11">
        <v>4</v>
      </c>
      <c r="S37" s="9">
        <v>3</v>
      </c>
      <c r="T37" s="11">
        <v>5</v>
      </c>
      <c r="U37" s="9">
        <v>3</v>
      </c>
      <c r="V37" s="11">
        <v>6</v>
      </c>
      <c r="W37" s="9">
        <v>4</v>
      </c>
      <c r="X37" s="11">
        <v>7</v>
      </c>
      <c r="Y37" s="9">
        <v>5</v>
      </c>
      <c r="Z37" s="11">
        <v>8</v>
      </c>
      <c r="AA37" s="9">
        <v>4</v>
      </c>
      <c r="AD37" s="70">
        <v>3</v>
      </c>
      <c r="AE37" s="70" t="s">
        <v>24</v>
      </c>
      <c r="AF37" s="73"/>
      <c r="AG37" s="75" t="s">
        <v>4</v>
      </c>
      <c r="AH37" s="75"/>
      <c r="AI37" s="75"/>
      <c r="AJ37" s="75"/>
      <c r="AK37" s="75" t="s">
        <v>11</v>
      </c>
      <c r="AL37" s="75"/>
      <c r="AM37" s="75"/>
      <c r="AN37" s="75"/>
      <c r="AO37" s="75" t="s">
        <v>12</v>
      </c>
      <c r="AP37" s="75"/>
      <c r="AQ37" s="75"/>
      <c r="AR37" s="75"/>
      <c r="AS37" s="3" t="s">
        <v>48</v>
      </c>
      <c r="AT37" s="71"/>
    </row>
    <row r="38" spans="1:46" ht="15.5" x14ac:dyDescent="0.3">
      <c r="A38" s="68"/>
      <c r="B38" s="68"/>
      <c r="C38" s="6" t="s">
        <v>19</v>
      </c>
      <c r="D38" s="10">
        <v>2</v>
      </c>
      <c r="E38" s="9">
        <v>3</v>
      </c>
      <c r="F38" s="10">
        <v>0</v>
      </c>
      <c r="G38" s="9">
        <v>0</v>
      </c>
      <c r="H38" s="10">
        <v>3</v>
      </c>
      <c r="I38" s="9">
        <v>2</v>
      </c>
      <c r="J38" s="10">
        <v>1</v>
      </c>
      <c r="K38" s="9">
        <v>2</v>
      </c>
      <c r="L38" s="10">
        <v>3</v>
      </c>
      <c r="M38" s="9">
        <v>3</v>
      </c>
      <c r="N38" s="10">
        <v>2</v>
      </c>
      <c r="O38" s="9">
        <v>2</v>
      </c>
      <c r="P38" s="10">
        <v>1</v>
      </c>
      <c r="Q38" s="9">
        <v>2</v>
      </c>
      <c r="R38" s="10">
        <v>1</v>
      </c>
      <c r="S38" s="9">
        <v>2</v>
      </c>
      <c r="T38" s="10">
        <v>3</v>
      </c>
      <c r="U38" s="9">
        <v>3</v>
      </c>
      <c r="V38" s="10">
        <v>3</v>
      </c>
      <c r="W38" s="9">
        <v>4</v>
      </c>
      <c r="X38" s="10">
        <v>2</v>
      </c>
      <c r="Y38" s="9">
        <v>2</v>
      </c>
      <c r="Z38" s="10">
        <v>2</v>
      </c>
      <c r="AA38" s="9">
        <v>4</v>
      </c>
      <c r="AD38" s="71"/>
      <c r="AE38" s="71"/>
      <c r="AF38" s="73"/>
      <c r="AG38" s="2" t="s">
        <v>5</v>
      </c>
      <c r="AH38" s="2" t="s">
        <v>7</v>
      </c>
      <c r="AI38" s="2" t="s">
        <v>8</v>
      </c>
      <c r="AJ38" s="2" t="s">
        <v>10</v>
      </c>
      <c r="AK38" s="2" t="s">
        <v>5</v>
      </c>
      <c r="AL38" s="2" t="s">
        <v>7</v>
      </c>
      <c r="AM38" s="2" t="s">
        <v>8</v>
      </c>
      <c r="AN38" s="2" t="s">
        <v>10</v>
      </c>
      <c r="AO38" s="2" t="s">
        <v>5</v>
      </c>
      <c r="AP38" s="2" t="s">
        <v>7</v>
      </c>
      <c r="AQ38" s="2" t="s">
        <v>8</v>
      </c>
      <c r="AR38" s="2" t="s">
        <v>10</v>
      </c>
      <c r="AS38" s="2"/>
      <c r="AT38" s="72"/>
    </row>
    <row r="39" spans="1:46" ht="15.5" x14ac:dyDescent="0.3">
      <c r="A39" s="68"/>
      <c r="B39" s="68"/>
      <c r="C39" s="6" t="s">
        <v>20</v>
      </c>
      <c r="D39" s="10">
        <v>1</v>
      </c>
      <c r="E39" s="9">
        <v>2</v>
      </c>
      <c r="F39" s="10">
        <v>1</v>
      </c>
      <c r="G39" s="9">
        <v>2</v>
      </c>
      <c r="H39" s="10">
        <v>0</v>
      </c>
      <c r="I39" s="9">
        <v>0</v>
      </c>
      <c r="J39" s="10">
        <v>1</v>
      </c>
      <c r="K39" s="9">
        <v>2</v>
      </c>
      <c r="L39" s="10">
        <v>0</v>
      </c>
      <c r="M39" s="9">
        <v>0</v>
      </c>
      <c r="N39" s="10">
        <v>2</v>
      </c>
      <c r="O39" s="9">
        <v>2</v>
      </c>
      <c r="P39" s="10">
        <v>2</v>
      </c>
      <c r="Q39" s="9">
        <v>3</v>
      </c>
      <c r="R39" s="10">
        <v>3</v>
      </c>
      <c r="S39" s="9">
        <v>2</v>
      </c>
      <c r="T39" s="10">
        <v>1</v>
      </c>
      <c r="U39" s="9">
        <v>4</v>
      </c>
      <c r="V39" s="10">
        <v>1</v>
      </c>
      <c r="W39" s="9">
        <v>3</v>
      </c>
      <c r="X39" s="10">
        <v>1</v>
      </c>
      <c r="Y39" s="9">
        <v>4</v>
      </c>
      <c r="Z39" s="10">
        <v>2</v>
      </c>
      <c r="AA39" s="9">
        <v>5</v>
      </c>
      <c r="AD39" s="71"/>
      <c r="AE39" s="71"/>
      <c r="AF39" s="1" t="s">
        <v>13</v>
      </c>
      <c r="AG39" s="58">
        <f>SUM(D32*E32)/(Q99*D150)*100%</f>
        <v>3.2258064516129032E-3</v>
      </c>
      <c r="AH39" s="58">
        <f>SUM(F32*G32)/(Q99*E150)*100%</f>
        <v>0</v>
      </c>
      <c r="AI39" s="58">
        <f>SUM(H32*I32)/(Q99*F150)*100%</f>
        <v>1.643835616438356E-2</v>
      </c>
      <c r="AJ39" s="58">
        <f>SUM(J32*K32)/(Q99*G150)*100%</f>
        <v>1.935483870967742E-2</v>
      </c>
      <c r="AK39" s="58">
        <f>SUM(L32*M32)/(Q99*H150)*100%</f>
        <v>0</v>
      </c>
      <c r="AL39" s="58">
        <f>SUM(N32*O32)/(Q99*I150)*100%</f>
        <v>1.038961038961039E-2</v>
      </c>
      <c r="AM39" s="58">
        <f>SUM(P32*Q32)/(Q99*J150)*100%</f>
        <v>1.0256410256410256E-2</v>
      </c>
      <c r="AN39" s="58">
        <f>SUM(R32*S32)/(Q99*K150)*100%</f>
        <v>5.9701492537313433E-3</v>
      </c>
      <c r="AO39" s="58">
        <f>SUM(T32*U32)/(Q99*L150)*100%</f>
        <v>1.9672131147540985E-2</v>
      </c>
      <c r="AP39" s="58">
        <f>SUM(V32*W32)/(Q99*M150)*100%</f>
        <v>8.21917808219178E-3</v>
      </c>
      <c r="AQ39" s="58">
        <f>SUM(X32*Y32)/(Q99*N150)*100%</f>
        <v>2.1052631578947368E-2</v>
      </c>
      <c r="AR39" s="58">
        <f>SUM(Z32*AA32)/(Q99*O150)*100%</f>
        <v>1.0810810810810811E-2</v>
      </c>
      <c r="AS39" s="58">
        <f>SUM(AG39:AR39)</f>
        <v>0.12538992284491682</v>
      </c>
      <c r="AT39" s="58">
        <f t="shared" ref="AT39:AT47" si="8">AVERAGE(AG39:AR39)</f>
        <v>1.0449160237076401E-2</v>
      </c>
    </row>
    <row r="40" spans="1:46" ht="15.5" x14ac:dyDescent="0.3">
      <c r="A40" s="69"/>
      <c r="B40" s="69"/>
      <c r="C40" s="6" t="s">
        <v>21</v>
      </c>
      <c r="D40" s="10">
        <v>2</v>
      </c>
      <c r="E40" s="9">
        <v>2</v>
      </c>
      <c r="F40" s="10">
        <v>1</v>
      </c>
      <c r="G40" s="9">
        <v>3</v>
      </c>
      <c r="H40" s="10">
        <v>2</v>
      </c>
      <c r="I40" s="9">
        <v>2</v>
      </c>
      <c r="J40" s="10">
        <v>6</v>
      </c>
      <c r="K40" s="9">
        <v>2</v>
      </c>
      <c r="L40" s="10">
        <v>0</v>
      </c>
      <c r="M40" s="9">
        <v>0</v>
      </c>
      <c r="N40" s="10">
        <v>2</v>
      </c>
      <c r="O40" s="9">
        <v>2</v>
      </c>
      <c r="P40" s="10">
        <v>2</v>
      </c>
      <c r="Q40" s="9">
        <v>3</v>
      </c>
      <c r="R40" s="10">
        <v>3</v>
      </c>
      <c r="S40" s="9">
        <v>2</v>
      </c>
      <c r="T40" s="10">
        <v>2</v>
      </c>
      <c r="U40" s="9">
        <v>3</v>
      </c>
      <c r="V40" s="10">
        <v>2</v>
      </c>
      <c r="W40" s="9">
        <v>4</v>
      </c>
      <c r="X40" s="10">
        <v>1</v>
      </c>
      <c r="Y40" s="9">
        <v>3</v>
      </c>
      <c r="Z40" s="10">
        <v>3</v>
      </c>
      <c r="AA40" s="9">
        <v>5</v>
      </c>
      <c r="AD40" s="71"/>
      <c r="AE40" s="71"/>
      <c r="AF40" s="1" t="s">
        <v>14</v>
      </c>
      <c r="AG40" s="58">
        <f>SUM(D33*E33)/(Q99*D151)*100%</f>
        <v>1.5686274509803921E-2</v>
      </c>
      <c r="AH40" s="58">
        <f>SUM(F33*G33)/(Q99*E151)*100%</f>
        <v>3.5999999999999997E-2</v>
      </c>
      <c r="AI40" s="58">
        <f>SUM(H33*I33)/(Q99*F151)*100%</f>
        <v>3.0769230769230771E-2</v>
      </c>
      <c r="AJ40" s="58">
        <f>SUM(J33*K33)/(Q99*G151)*100%</f>
        <v>7.2727272727272727E-3</v>
      </c>
      <c r="AK40" s="58">
        <f>SUM(L33*M33)/(Q99*H151)*100%</f>
        <v>2.2641509433962263E-2</v>
      </c>
      <c r="AL40" s="58">
        <f>SUM(N33*O33)/(Q99*I151)*100%</f>
        <v>1.4285714285714285E-2</v>
      </c>
      <c r="AM40" s="58">
        <f>SUM(P33*Q33)/(Q99*J151)*100%</f>
        <v>3.6734693877551024E-2</v>
      </c>
      <c r="AN40" s="58">
        <f>SUM(R33*S33)/(Q99*K151)*100%</f>
        <v>0.04</v>
      </c>
      <c r="AO40" s="58">
        <f>SUM(T33*U33)/(Q99*L151)*100%</f>
        <v>3.5294117647058823E-2</v>
      </c>
      <c r="AP40" s="58">
        <f>SUM(V33*W33)/(Q99*M151)*100%</f>
        <v>3.0769230769230771E-2</v>
      </c>
      <c r="AQ40" s="58">
        <f>SUM(X33*Y33)/(Q99*N151)*100%</f>
        <v>0</v>
      </c>
      <c r="AR40" s="58">
        <f>SUM(Z33*AA33)/(Q99*O151)*100%</f>
        <v>2.2641509433962263E-2</v>
      </c>
      <c r="AS40" s="58">
        <f t="shared" ref="AS40:AS47" si="9">SUM(AG40:AR40)</f>
        <v>0.29209500799924137</v>
      </c>
      <c r="AT40" s="58">
        <f t="shared" si="8"/>
        <v>2.4341250666603448E-2</v>
      </c>
    </row>
    <row r="41" spans="1:46" ht="15.5" x14ac:dyDescent="0.3">
      <c r="A41" s="59"/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D41" s="71"/>
      <c r="AE41" s="71"/>
      <c r="AF41" s="1" t="s">
        <v>15</v>
      </c>
      <c r="AG41" s="58">
        <f>SUM(D34*E34)/(Q99*D152)*100%</f>
        <v>2.3076923076923078E-2</v>
      </c>
      <c r="AH41" s="58">
        <f>SUM(F34*G34)/(Q99*E152)*100%</f>
        <v>3.2000000000000001E-2</v>
      </c>
      <c r="AI41" s="58">
        <f>SUM(H34*I34)/(Q99*F152)*100%</f>
        <v>4.0816326530612242E-2</v>
      </c>
      <c r="AJ41" s="58">
        <f>SUM(J34*K34)/(Q99*G152)*100%</f>
        <v>1.6666666666666666E-2</v>
      </c>
      <c r="AK41" s="58">
        <f>SUM(L34*M34)/(Q99*H152)*100%</f>
        <v>3.4615384615384617E-2</v>
      </c>
      <c r="AL41" s="58">
        <f>SUM(N34*O34)/(Q99*I152)*100%</f>
        <v>7.0588235294117646E-2</v>
      </c>
      <c r="AM41" s="58">
        <f>SUM(P34*Q34)/(Q99*J152)*100%</f>
        <v>3.3333333333333333E-2</v>
      </c>
      <c r="AN41" s="58">
        <f>SUM(R34*S34)/(Q99*K152)*100%</f>
        <v>2.1428571428571429E-2</v>
      </c>
      <c r="AO41" s="58">
        <f>SUM(T34*U34)/(Q99*L152)*100%</f>
        <v>5.9259259259259262E-2</v>
      </c>
      <c r="AP41" s="58">
        <f>SUM(V34*W34)/(Q99*M152)*100%</f>
        <v>3.5999999999999997E-2</v>
      </c>
      <c r="AQ41" s="58">
        <f>SUM(X34*Y34)/(Q99*N152)*100%</f>
        <v>3.0769230769230771E-2</v>
      </c>
      <c r="AR41" s="58">
        <f>SUM(Z34*AA34)/(Q99*O152)*100%</f>
        <v>2.2641509433962263E-2</v>
      </c>
      <c r="AS41" s="58">
        <f t="shared" si="9"/>
        <v>0.42119544040806128</v>
      </c>
      <c r="AT41" s="58">
        <f t="shared" si="8"/>
        <v>3.5099620034005109E-2</v>
      </c>
    </row>
    <row r="42" spans="1:46" ht="15.5" x14ac:dyDescent="0.3">
      <c r="A42" s="9" t="s">
        <v>0</v>
      </c>
      <c r="B42" s="9" t="s">
        <v>1</v>
      </c>
      <c r="C42" s="79" t="s">
        <v>2</v>
      </c>
      <c r="D42" s="74" t="s">
        <v>3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D42" s="71"/>
      <c r="AE42" s="71"/>
      <c r="AF42" s="1" t="s">
        <v>16</v>
      </c>
      <c r="AG42" s="58">
        <f>SUM(D35*E35)/(Q99*D153)*100%</f>
        <v>2.5806451612903226E-2</v>
      </c>
      <c r="AH42" s="58">
        <f>SUM(F35*G35)/(Q99*E153)*100%</f>
        <v>5.8823529411764705E-2</v>
      </c>
      <c r="AI42" s="58">
        <f>SUM(H35*I35)/(Q99*F153)*100%</f>
        <v>3.9130434782608699E-2</v>
      </c>
      <c r="AJ42" s="58">
        <f>SUM(J35*K35)/(Q99*G153)*100%</f>
        <v>5.6000000000000001E-2</v>
      </c>
      <c r="AK42" s="58">
        <f>SUM(L35*M35)/(Q99*H153)*100%</f>
        <v>2.5000000000000001E-2</v>
      </c>
      <c r="AL42" s="58">
        <f>SUM(N35*O35)/(Q99*I153)*100%</f>
        <v>3.2258064516129031E-2</v>
      </c>
      <c r="AM42" s="58">
        <f>SUM(P35*Q35)/(Q99*J153)*100%</f>
        <v>8.8888888888888892E-2</v>
      </c>
      <c r="AN42" s="58">
        <f>SUM(R35*S35)/(Q99*K153)*100%</f>
        <v>5.9574468085106386E-2</v>
      </c>
      <c r="AO42" s="58">
        <f>SUM(T35*U35)/(Q99*L153)*100%</f>
        <v>0.17499999999999999</v>
      </c>
      <c r="AP42" s="58">
        <f>SUM(V35*W35)/(Q99*M153)*100%</f>
        <v>0.125</v>
      </c>
      <c r="AQ42" s="58">
        <f>SUM(X35*Y35)/(Q99*N153)*100%</f>
        <v>0.128</v>
      </c>
      <c r="AR42" s="58">
        <f>SUM(Z35*AA35)/(Q99*O153)*100%</f>
        <v>8.7499999999999994E-2</v>
      </c>
      <c r="AS42" s="58">
        <f t="shared" si="9"/>
        <v>0.900981837297401</v>
      </c>
      <c r="AT42" s="58">
        <f t="shared" si="8"/>
        <v>7.5081819774783412E-2</v>
      </c>
    </row>
    <row r="43" spans="1:46" ht="15.5" x14ac:dyDescent="0.3">
      <c r="A43" s="67">
        <v>4</v>
      </c>
      <c r="B43" s="67" t="s">
        <v>25</v>
      </c>
      <c r="C43" s="79"/>
      <c r="D43" s="74" t="s">
        <v>4</v>
      </c>
      <c r="E43" s="74"/>
      <c r="F43" s="74"/>
      <c r="G43" s="74"/>
      <c r="H43" s="74"/>
      <c r="I43" s="74"/>
      <c r="J43" s="74"/>
      <c r="K43" s="74"/>
      <c r="L43" s="74" t="s">
        <v>11</v>
      </c>
      <c r="M43" s="74"/>
      <c r="N43" s="74"/>
      <c r="O43" s="74"/>
      <c r="P43" s="74"/>
      <c r="Q43" s="74"/>
      <c r="R43" s="74"/>
      <c r="S43" s="74"/>
      <c r="T43" s="74" t="s">
        <v>12</v>
      </c>
      <c r="U43" s="74"/>
      <c r="V43" s="74"/>
      <c r="W43" s="74"/>
      <c r="X43" s="74"/>
      <c r="Y43" s="74"/>
      <c r="Z43" s="74"/>
      <c r="AA43" s="74"/>
      <c r="AD43" s="71"/>
      <c r="AE43" s="71"/>
      <c r="AF43" s="1" t="s">
        <v>17</v>
      </c>
      <c r="AG43" s="58">
        <f>SUM(D36*E36)/(Q99*D154)*100%</f>
        <v>4.3478260869565216E-2</v>
      </c>
      <c r="AH43" s="58">
        <f>SUM(F36*G36)/(Q99*E154)*100%</f>
        <v>8.1818181818181818E-2</v>
      </c>
      <c r="AI43" s="58">
        <f>SUM(H36*I36)/(Q99*F154)*100%</f>
        <v>7.0588235294117646E-2</v>
      </c>
      <c r="AJ43" s="58">
        <f>SUM(J36*K36)/(Q99*G154)*100%</f>
        <v>8.3333333333333329E-2</v>
      </c>
      <c r="AK43" s="58">
        <f>SUM(L36*M36)/(Q99*H154)*100%</f>
        <v>1.935483870967742E-2</v>
      </c>
      <c r="AL43" s="58">
        <f>SUM(N36*O36)/(Q99*J154)*100%</f>
        <v>9.1304347826086957E-2</v>
      </c>
      <c r="AM43" s="58">
        <f>SUM(P36*Q36)/(Q99*J154)*100%</f>
        <v>6.5217391304347824E-2</v>
      </c>
      <c r="AN43" s="58">
        <f>SUM(R36*S36)/(Q99*K154)*100%</f>
        <v>0.13333333333333333</v>
      </c>
      <c r="AO43" s="58">
        <f>SUM(T36*U36)/(Q99*L154)*100%</f>
        <v>0.2</v>
      </c>
      <c r="AP43" s="58">
        <f>SUM(V36*W36)/(Q99*M154)*100%</f>
        <v>0.25</v>
      </c>
      <c r="AQ43" s="58">
        <f>SUM(X36*Y36)/(Q99*N154)*100%</f>
        <v>0.108</v>
      </c>
      <c r="AR43" s="58">
        <f>SUM(Z36*AA36)/(Q99*O154)*100%</f>
        <v>0.1</v>
      </c>
      <c r="AS43" s="58">
        <f t="shared" si="9"/>
        <v>1.2464279224886439</v>
      </c>
      <c r="AT43" s="58">
        <f t="shared" si="8"/>
        <v>0.10386899354072032</v>
      </c>
    </row>
    <row r="44" spans="1:46" ht="15.5" x14ac:dyDescent="0.3">
      <c r="A44" s="68"/>
      <c r="B44" s="68"/>
      <c r="C44" s="79"/>
      <c r="D44" s="9" t="s">
        <v>5</v>
      </c>
      <c r="E44" s="9" t="s">
        <v>6</v>
      </c>
      <c r="F44" s="9" t="s">
        <v>7</v>
      </c>
      <c r="G44" s="9" t="s">
        <v>6</v>
      </c>
      <c r="H44" s="9" t="s">
        <v>8</v>
      </c>
      <c r="I44" s="9" t="s">
        <v>9</v>
      </c>
      <c r="J44" s="9" t="s">
        <v>10</v>
      </c>
      <c r="K44" s="9" t="s">
        <v>6</v>
      </c>
      <c r="L44" s="9" t="s">
        <v>5</v>
      </c>
      <c r="M44" s="9" t="s">
        <v>6</v>
      </c>
      <c r="N44" s="9" t="s">
        <v>7</v>
      </c>
      <c r="O44" s="9" t="s">
        <v>6</v>
      </c>
      <c r="P44" s="9" t="s">
        <v>8</v>
      </c>
      <c r="Q44" s="9" t="s">
        <v>9</v>
      </c>
      <c r="R44" s="9" t="s">
        <v>10</v>
      </c>
      <c r="S44" s="9" t="s">
        <v>6</v>
      </c>
      <c r="T44" s="9" t="s">
        <v>5</v>
      </c>
      <c r="U44" s="9" t="s">
        <v>6</v>
      </c>
      <c r="V44" s="9" t="s">
        <v>7</v>
      </c>
      <c r="W44" s="9" t="s">
        <v>6</v>
      </c>
      <c r="X44" s="9" t="s">
        <v>8</v>
      </c>
      <c r="Y44" s="9" t="s">
        <v>9</v>
      </c>
      <c r="Z44" s="9" t="s">
        <v>10</v>
      </c>
      <c r="AA44" s="9" t="s">
        <v>6</v>
      </c>
      <c r="AD44" s="71"/>
      <c r="AE44" s="71"/>
      <c r="AF44" s="1" t="s">
        <v>18</v>
      </c>
      <c r="AG44" s="58">
        <f>SUM(D37*E37)/(Q99*D155)*100%</f>
        <v>8.2352941176470587E-2</v>
      </c>
      <c r="AH44" s="58">
        <f>SUM(F37*G37)/(Q99*E155)*100%</f>
        <v>0.05</v>
      </c>
      <c r="AI44" s="58">
        <f>SUM(H37*I37)/(Q99*F155)*100%</f>
        <v>0.1</v>
      </c>
      <c r="AJ44" s="58">
        <f>SUM(J37*K37)/(Q99*G155)*100%</f>
        <v>6.8181818181818177E-2</v>
      </c>
      <c r="AK44" s="58">
        <f>SUM(L37*M37)/(Q99*H155)*100%</f>
        <v>0.03</v>
      </c>
      <c r="AL44" s="58">
        <f>SUM(N37*O37)/(Q99*I155)*100%</f>
        <v>4.6511627906976744E-2</v>
      </c>
      <c r="AM44" s="58">
        <f>SUM(P37*Q37)/(Q99*J155)*100%</f>
        <v>5.8536585365853662E-2</v>
      </c>
      <c r="AN44" s="58">
        <f>SUM(R37*S37)/(Q99*K155)*100%</f>
        <v>5.8536585365853662E-2</v>
      </c>
      <c r="AO44" s="58">
        <f>SUM(T37*U37)/(Q99*L155)*100%</f>
        <v>9.375E-2</v>
      </c>
      <c r="AP44" s="58">
        <f>SUM(V37*W37)/(Q99*M155)*100%</f>
        <v>0.12</v>
      </c>
      <c r="AQ44" s="58">
        <f>SUM(X37*Y37)/(Q99*N155)*100%</f>
        <v>0.17499999999999999</v>
      </c>
      <c r="AR44" s="58">
        <f>SUM(Z37*AA37)/(Q99*O155)*100%</f>
        <v>0.16842105263157894</v>
      </c>
      <c r="AS44" s="58">
        <f t="shared" si="9"/>
        <v>1.0512906106285518</v>
      </c>
      <c r="AT44" s="58">
        <f t="shared" si="8"/>
        <v>8.7607550885712648E-2</v>
      </c>
    </row>
    <row r="45" spans="1:46" ht="15.5" x14ac:dyDescent="0.3">
      <c r="A45" s="68"/>
      <c r="B45" s="68"/>
      <c r="C45" s="6" t="s">
        <v>13</v>
      </c>
      <c r="D45" s="10">
        <v>3</v>
      </c>
      <c r="E45" s="9">
        <v>2</v>
      </c>
      <c r="F45" s="10">
        <v>2</v>
      </c>
      <c r="G45" s="9">
        <v>2</v>
      </c>
      <c r="H45" s="10">
        <v>4</v>
      </c>
      <c r="I45" s="9">
        <v>2</v>
      </c>
      <c r="J45" s="10">
        <v>3</v>
      </c>
      <c r="K45" s="9">
        <v>3</v>
      </c>
      <c r="L45" s="10">
        <v>2</v>
      </c>
      <c r="M45" s="9">
        <v>2</v>
      </c>
      <c r="N45" s="10">
        <v>3</v>
      </c>
      <c r="O45" s="9">
        <v>2</v>
      </c>
      <c r="P45" s="10">
        <v>3</v>
      </c>
      <c r="Q45" s="9">
        <v>3</v>
      </c>
      <c r="R45" s="10">
        <v>3</v>
      </c>
      <c r="S45" s="9">
        <v>2</v>
      </c>
      <c r="T45" s="10">
        <v>3</v>
      </c>
      <c r="U45" s="9">
        <v>3</v>
      </c>
      <c r="V45" s="10">
        <v>2</v>
      </c>
      <c r="W45" s="9">
        <v>4</v>
      </c>
      <c r="X45" s="10">
        <v>4</v>
      </c>
      <c r="Y45" s="9">
        <v>3</v>
      </c>
      <c r="Z45" s="10">
        <v>3</v>
      </c>
      <c r="AA45" s="9">
        <v>2</v>
      </c>
      <c r="AD45" s="71"/>
      <c r="AE45" s="71"/>
      <c r="AF45" s="1" t="s">
        <v>19</v>
      </c>
      <c r="AG45" s="58">
        <f>SUM(D38*E38)/(Q99*D156)*100%</f>
        <v>0.02</v>
      </c>
      <c r="AH45" s="58">
        <f>SUM(F38*G38)/(Q99*E156)*100%</f>
        <v>0</v>
      </c>
      <c r="AI45" s="58">
        <f>SUM(H38*I38)/(Q99*F156)*100%</f>
        <v>1.6E-2</v>
      </c>
      <c r="AJ45" s="58">
        <f>SUM(J38*K38)/(Q99*G156)*100%</f>
        <v>6.1538461538461538E-3</v>
      </c>
      <c r="AK45" s="58">
        <f>SUM(L38*M38)/(Q99*H156)*100%</f>
        <v>5.1428571428571428E-2</v>
      </c>
      <c r="AL45" s="58">
        <f>SUM(N38*O38)/(Q99*I156)*100%</f>
        <v>1.0810810810810811E-2</v>
      </c>
      <c r="AM45" s="58">
        <f>SUM(P38*Q38)/(Q99*J156)*100%</f>
        <v>6.2500000000000003E-3</v>
      </c>
      <c r="AN45" s="58">
        <f>SUM(R38*S38)/(Q99*K156)*100%</f>
        <v>5.4054054054054057E-3</v>
      </c>
      <c r="AO45" s="58">
        <f>SUM(T38*U38)/(Q99*L156)*100%</f>
        <v>2.6086956521739129E-2</v>
      </c>
      <c r="AP45" s="58">
        <f>SUM(V38*W38)/(Q99*M156)*100%</f>
        <v>3.5294117647058823E-2</v>
      </c>
      <c r="AQ45" s="58">
        <f>SUM(X38*Y38)/(Q99*N156)*100%</f>
        <v>8.988764044943821E-3</v>
      </c>
      <c r="AR45" s="58">
        <f>SUM(Z38*AA38)/(Q99*O156)*100%</f>
        <v>1.8604651162790697E-2</v>
      </c>
      <c r="AS45" s="58">
        <f t="shared" si="9"/>
        <v>0.20502312317516624</v>
      </c>
      <c r="AT45" s="58">
        <f t="shared" si="8"/>
        <v>1.7085260264597186E-2</v>
      </c>
    </row>
    <row r="46" spans="1:46" ht="15.5" x14ac:dyDescent="0.3">
      <c r="A46" s="68"/>
      <c r="B46" s="68"/>
      <c r="C46" s="6" t="s">
        <v>14</v>
      </c>
      <c r="D46" s="10">
        <v>3</v>
      </c>
      <c r="E46" s="9">
        <v>3</v>
      </c>
      <c r="F46" s="10">
        <v>6</v>
      </c>
      <c r="G46" s="9">
        <v>3</v>
      </c>
      <c r="H46" s="10">
        <v>2</v>
      </c>
      <c r="I46" s="9">
        <v>3</v>
      </c>
      <c r="J46" s="10">
        <v>5</v>
      </c>
      <c r="K46" s="9">
        <v>2</v>
      </c>
      <c r="L46" s="10">
        <v>7</v>
      </c>
      <c r="M46" s="9">
        <v>3</v>
      </c>
      <c r="N46" s="10">
        <v>3</v>
      </c>
      <c r="O46" s="9">
        <v>2</v>
      </c>
      <c r="P46" s="10">
        <v>4</v>
      </c>
      <c r="Q46" s="9">
        <v>3</v>
      </c>
      <c r="R46" s="10">
        <v>2</v>
      </c>
      <c r="S46" s="9">
        <v>2</v>
      </c>
      <c r="T46" s="10">
        <v>5</v>
      </c>
      <c r="U46" s="9">
        <v>3</v>
      </c>
      <c r="V46" s="10">
        <v>2</v>
      </c>
      <c r="W46" s="9">
        <v>3</v>
      </c>
      <c r="X46" s="10">
        <v>3</v>
      </c>
      <c r="Y46" s="9">
        <v>4</v>
      </c>
      <c r="Z46" s="10">
        <v>2</v>
      </c>
      <c r="AA46" s="9">
        <v>2</v>
      </c>
      <c r="AD46" s="71"/>
      <c r="AE46" s="71"/>
      <c r="AF46" s="1" t="s">
        <v>20</v>
      </c>
      <c r="AG46" s="58">
        <f>SUM(D39*E39)/(Q99*D157)*100%</f>
        <v>4.5454545454545452E-3</v>
      </c>
      <c r="AH46" s="58">
        <f>SUM(F39*G39)/(Q99*E157)*100%</f>
        <v>4.5454545454545452E-3</v>
      </c>
      <c r="AI46" s="58">
        <f>SUM(H39*I39)/(Q99*F157)*100%</f>
        <v>0</v>
      </c>
      <c r="AJ46" s="58">
        <f>SUM(J39*K39)/(Q99*G157)*100%</f>
        <v>0.01</v>
      </c>
      <c r="AK46" s="58">
        <f>SUM(L39*M39)/(Q99*H157)*100%</f>
        <v>0</v>
      </c>
      <c r="AL46" s="58">
        <f>SUM(N39*O39)/(Q99*I157)*100%</f>
        <v>0.02</v>
      </c>
      <c r="AM46" s="58">
        <f>SUM(P39*Q39)/(Q99*J157)*100%</f>
        <v>1.8461538461538463E-2</v>
      </c>
      <c r="AN46" s="58">
        <f>SUM(R39*S39)/(Q99*K157)*100%</f>
        <v>1.411764705882353E-2</v>
      </c>
      <c r="AO46" s="58">
        <f>SUM(U39*V39)/(Q99*L157)*100%</f>
        <v>9.3023255813953487E-3</v>
      </c>
      <c r="AP46" s="58">
        <f>SUM(V39*W39)/(Q99*M157)*100%</f>
        <v>1.2E-2</v>
      </c>
      <c r="AQ46" s="58">
        <f>SUM(X39*Y39)/(Q99*N157)*100%</f>
        <v>7.6923076923076927E-3</v>
      </c>
      <c r="AR46" s="58">
        <f>SUM(Z39*AA39)/(Q99*O157)*100%</f>
        <v>2.9411764705882353E-2</v>
      </c>
      <c r="AS46" s="58">
        <f t="shared" si="9"/>
        <v>0.13007649259085646</v>
      </c>
      <c r="AT46" s="58">
        <f t="shared" si="8"/>
        <v>1.0839707715904706E-2</v>
      </c>
    </row>
    <row r="47" spans="1:46" ht="15.5" x14ac:dyDescent="0.3">
      <c r="A47" s="68"/>
      <c r="B47" s="68"/>
      <c r="C47" s="6" t="s">
        <v>15</v>
      </c>
      <c r="D47" s="10">
        <v>2</v>
      </c>
      <c r="E47" s="9">
        <v>2</v>
      </c>
      <c r="F47" s="10">
        <v>4</v>
      </c>
      <c r="G47" s="9">
        <v>2</v>
      </c>
      <c r="H47" s="10">
        <v>3</v>
      </c>
      <c r="I47" s="9">
        <v>2</v>
      </c>
      <c r="J47" s="10">
        <v>5</v>
      </c>
      <c r="K47" s="9">
        <v>2</v>
      </c>
      <c r="L47" s="10">
        <v>2</v>
      </c>
      <c r="M47" s="9">
        <v>2</v>
      </c>
      <c r="N47" s="10">
        <v>4</v>
      </c>
      <c r="O47" s="9">
        <v>2</v>
      </c>
      <c r="P47" s="10">
        <v>3</v>
      </c>
      <c r="Q47" s="9">
        <v>3</v>
      </c>
      <c r="R47" s="10">
        <v>0</v>
      </c>
      <c r="S47" s="9">
        <v>0</v>
      </c>
      <c r="T47" s="10">
        <v>3</v>
      </c>
      <c r="U47" s="9">
        <v>3</v>
      </c>
      <c r="V47" s="10">
        <v>4</v>
      </c>
      <c r="W47" s="9">
        <v>2</v>
      </c>
      <c r="X47" s="10">
        <v>2</v>
      </c>
      <c r="Y47" s="9">
        <v>3</v>
      </c>
      <c r="Z47" s="10">
        <v>3</v>
      </c>
      <c r="AA47" s="9">
        <v>2</v>
      </c>
      <c r="AD47" s="71"/>
      <c r="AE47" s="71"/>
      <c r="AF47" s="1" t="s">
        <v>21</v>
      </c>
      <c r="AG47" s="58">
        <f>SUM(D40*E40)/(Q99*D158)*100%</f>
        <v>1.6E-2</v>
      </c>
      <c r="AH47" s="58">
        <f>SUM(F40*G40)/(Q99*E158)*100%</f>
        <v>8.3333333333333332E-3</v>
      </c>
      <c r="AI47" s="58">
        <f>SUM(H40*I40)/(Q99*F158)*100%</f>
        <v>7.1428571428571426E-3</v>
      </c>
      <c r="AJ47" s="58">
        <f>SUM(J40*K40)/(Q99*G158)*100%</f>
        <v>2.553191489361702E-2</v>
      </c>
      <c r="AK47" s="58">
        <f>SUM(L40*M40)/(Q99*H158)*100%</f>
        <v>0</v>
      </c>
      <c r="AL47" s="58">
        <f>SUM(N40*O40)/(Q99*J158)*100%</f>
        <v>1.6E-2</v>
      </c>
      <c r="AM47" s="58">
        <f>SUM(P40*Q40)/(Q99*J158)*100%</f>
        <v>2.4E-2</v>
      </c>
      <c r="AN47" s="58">
        <f>SUM(R40*S40)/(Q99*K158)*100%</f>
        <v>2.3076923076923078E-2</v>
      </c>
      <c r="AO47" s="58">
        <f>SUM(T40*U40)/(Q99*L158)*100%</f>
        <v>1.6666666666666666E-2</v>
      </c>
      <c r="AP47" s="58">
        <f>SUM(V40*W40)/(Q99*M158)*100%</f>
        <v>2.9090909090909091E-2</v>
      </c>
      <c r="AQ47" s="58">
        <f>SUM(X40*Y40)/(Q99*N158)*100%</f>
        <v>7.4999999999999997E-3</v>
      </c>
      <c r="AR47" s="58">
        <f>SUM(Z40*AA40)/(Q99*O158)*100%</f>
        <v>3.3333333333333333E-2</v>
      </c>
      <c r="AS47" s="58">
        <f t="shared" si="9"/>
        <v>0.20667593753763966</v>
      </c>
      <c r="AT47" s="58">
        <f t="shared" si="8"/>
        <v>1.7222994794803305E-2</v>
      </c>
    </row>
    <row r="48" spans="1:46" ht="15.5" x14ac:dyDescent="0.3">
      <c r="A48" s="68"/>
      <c r="B48" s="68"/>
      <c r="C48" s="6" t="s">
        <v>16</v>
      </c>
      <c r="D48" s="11">
        <v>3</v>
      </c>
      <c r="E48" s="9">
        <v>3</v>
      </c>
      <c r="F48" s="11">
        <v>4</v>
      </c>
      <c r="G48" s="9">
        <v>3</v>
      </c>
      <c r="H48" s="11">
        <v>4</v>
      </c>
      <c r="I48" s="9">
        <v>2</v>
      </c>
      <c r="J48" s="11">
        <v>6</v>
      </c>
      <c r="K48" s="9">
        <v>3</v>
      </c>
      <c r="L48" s="11">
        <v>3</v>
      </c>
      <c r="M48" s="9">
        <v>2</v>
      </c>
      <c r="N48" s="11">
        <v>4</v>
      </c>
      <c r="O48" s="9">
        <v>3</v>
      </c>
      <c r="P48" s="11">
        <v>4</v>
      </c>
      <c r="Q48" s="9">
        <v>2</v>
      </c>
      <c r="R48" s="11">
        <v>6</v>
      </c>
      <c r="S48" s="9">
        <v>2</v>
      </c>
      <c r="T48" s="11">
        <v>7</v>
      </c>
      <c r="U48" s="9">
        <v>3</v>
      </c>
      <c r="V48" s="11">
        <v>6</v>
      </c>
      <c r="W48" s="9">
        <v>3</v>
      </c>
      <c r="X48" s="11">
        <v>7</v>
      </c>
      <c r="Y48" s="9">
        <v>4</v>
      </c>
      <c r="Z48" s="11">
        <v>7</v>
      </c>
      <c r="AA48" s="9">
        <v>3</v>
      </c>
      <c r="AD48" s="71"/>
      <c r="AE48" s="71"/>
      <c r="AF48" s="1" t="s">
        <v>48</v>
      </c>
      <c r="AG48" s="58">
        <f>SUM(AG39:AG47)</f>
        <v>0.23417211224273349</v>
      </c>
      <c r="AH48" s="58">
        <f t="shared" ref="AH48:AR48" si="10">SUM(AH39:AH47)</f>
        <v>0.27152049910873444</v>
      </c>
      <c r="AI48" s="58">
        <f t="shared" si="10"/>
        <v>0.32088544068381009</v>
      </c>
      <c r="AJ48" s="58">
        <f t="shared" si="10"/>
        <v>0.29249514521168607</v>
      </c>
      <c r="AK48" s="58">
        <f t="shared" si="10"/>
        <v>0.18304030418759573</v>
      </c>
      <c r="AL48" s="58">
        <f t="shared" si="10"/>
        <v>0.3121484110294459</v>
      </c>
      <c r="AM48" s="58">
        <f t="shared" si="10"/>
        <v>0.34167884148792349</v>
      </c>
      <c r="AN48" s="58">
        <f t="shared" si="10"/>
        <v>0.36144308300774808</v>
      </c>
      <c r="AO48" s="58">
        <f t="shared" si="10"/>
        <v>0.63503145682366013</v>
      </c>
      <c r="AP48" s="58">
        <f t="shared" si="10"/>
        <v>0.64637343558939042</v>
      </c>
      <c r="AQ48" s="58">
        <f t="shared" si="10"/>
        <v>0.48700293408542966</v>
      </c>
      <c r="AR48" s="58">
        <f t="shared" si="10"/>
        <v>0.49336463151232063</v>
      </c>
      <c r="AS48" s="58">
        <f>SUM(AS39:AS47)</f>
        <v>4.5791562949704785</v>
      </c>
      <c r="AT48" s="58"/>
    </row>
    <row r="49" spans="1:46" ht="15.5" x14ac:dyDescent="0.3">
      <c r="A49" s="68"/>
      <c r="B49" s="68"/>
      <c r="C49" s="6" t="s">
        <v>17</v>
      </c>
      <c r="D49" s="11">
        <v>6</v>
      </c>
      <c r="E49" s="9">
        <v>3</v>
      </c>
      <c r="F49" s="11">
        <v>5</v>
      </c>
      <c r="G49" s="9">
        <v>2</v>
      </c>
      <c r="H49" s="11">
        <v>5</v>
      </c>
      <c r="I49" s="9">
        <v>3</v>
      </c>
      <c r="J49" s="11">
        <v>6</v>
      </c>
      <c r="K49" s="9">
        <v>2</v>
      </c>
      <c r="L49" s="11">
        <v>6</v>
      </c>
      <c r="M49" s="9">
        <v>3</v>
      </c>
      <c r="N49" s="11">
        <v>5</v>
      </c>
      <c r="O49" s="9">
        <v>2</v>
      </c>
      <c r="P49" s="11">
        <v>5</v>
      </c>
      <c r="Q49" s="9">
        <v>2</v>
      </c>
      <c r="R49" s="10">
        <v>4</v>
      </c>
      <c r="S49" s="9">
        <v>2</v>
      </c>
      <c r="T49" s="11">
        <v>7</v>
      </c>
      <c r="U49" s="9">
        <v>2</v>
      </c>
      <c r="V49" s="11">
        <v>7</v>
      </c>
      <c r="W49" s="9">
        <v>3</v>
      </c>
      <c r="X49" s="11">
        <v>8</v>
      </c>
      <c r="Y49" s="9">
        <v>3</v>
      </c>
      <c r="Z49" s="11">
        <v>9</v>
      </c>
      <c r="AA49" s="9">
        <v>3</v>
      </c>
      <c r="AD49" s="72"/>
      <c r="AE49" s="72"/>
      <c r="AF49" s="1" t="s">
        <v>47</v>
      </c>
      <c r="AG49" s="58">
        <f t="shared" ref="AG49:AR49" si="11">AVERAGE(AG39:AG47)</f>
        <v>2.6019123582525942E-2</v>
      </c>
      <c r="AH49" s="58">
        <f t="shared" si="11"/>
        <v>3.0168944345414936E-2</v>
      </c>
      <c r="AI49" s="58">
        <f t="shared" si="11"/>
        <v>3.5653937853756673E-2</v>
      </c>
      <c r="AJ49" s="58">
        <f t="shared" si="11"/>
        <v>3.2499460579076232E-2</v>
      </c>
      <c r="AK49" s="58">
        <f t="shared" si="11"/>
        <v>2.0337811576399526E-2</v>
      </c>
      <c r="AL49" s="58">
        <f t="shared" si="11"/>
        <v>3.4683156781049544E-2</v>
      </c>
      <c r="AM49" s="58">
        <f t="shared" si="11"/>
        <v>3.7964315720880389E-2</v>
      </c>
      <c r="AN49" s="58">
        <f t="shared" si="11"/>
        <v>4.0160342556416456E-2</v>
      </c>
      <c r="AO49" s="58">
        <f t="shared" si="11"/>
        <v>7.0559050758184458E-2</v>
      </c>
      <c r="AP49" s="58">
        <f t="shared" si="11"/>
        <v>7.1819270621043374E-2</v>
      </c>
      <c r="AQ49" s="58">
        <f t="shared" si="11"/>
        <v>5.4111437120603297E-2</v>
      </c>
      <c r="AR49" s="58">
        <f t="shared" si="11"/>
        <v>5.4818292390257845E-2</v>
      </c>
      <c r="AS49" s="58"/>
      <c r="AT49" s="58"/>
    </row>
    <row r="50" spans="1:46" ht="15.5" x14ac:dyDescent="0.3">
      <c r="A50" s="68"/>
      <c r="B50" s="68"/>
      <c r="C50" s="6" t="s">
        <v>18</v>
      </c>
      <c r="D50" s="11">
        <v>7</v>
      </c>
      <c r="E50" s="9">
        <v>3</v>
      </c>
      <c r="F50" s="11">
        <v>5</v>
      </c>
      <c r="G50" s="9">
        <v>3</v>
      </c>
      <c r="H50" s="11">
        <v>4</v>
      </c>
      <c r="I50" s="9">
        <v>2</v>
      </c>
      <c r="J50" s="11">
        <v>6</v>
      </c>
      <c r="K50" s="9">
        <v>3</v>
      </c>
      <c r="L50" s="11">
        <v>7</v>
      </c>
      <c r="M50" s="9">
        <v>3</v>
      </c>
      <c r="N50" s="11">
        <v>5</v>
      </c>
      <c r="O50" s="9">
        <v>3</v>
      </c>
      <c r="P50" s="11">
        <v>4</v>
      </c>
      <c r="Q50" s="9">
        <v>3</v>
      </c>
      <c r="R50" s="11">
        <v>6</v>
      </c>
      <c r="S50" s="9">
        <v>2</v>
      </c>
      <c r="T50" s="11">
        <v>6</v>
      </c>
      <c r="U50" s="9">
        <v>4</v>
      </c>
      <c r="V50" s="11">
        <v>4</v>
      </c>
      <c r="W50" s="9">
        <v>2</v>
      </c>
      <c r="X50" s="11">
        <v>8</v>
      </c>
      <c r="Y50" s="9">
        <v>3</v>
      </c>
      <c r="Z50" s="11">
        <v>7</v>
      </c>
      <c r="AA50" s="9">
        <v>3</v>
      </c>
      <c r="AD50" s="61"/>
      <c r="AE50" s="61"/>
      <c r="AF50" s="15"/>
    </row>
    <row r="51" spans="1:46" ht="15.5" x14ac:dyDescent="0.3">
      <c r="A51" s="68"/>
      <c r="B51" s="68"/>
      <c r="C51" s="6" t="s">
        <v>19</v>
      </c>
      <c r="D51" s="10">
        <v>1</v>
      </c>
      <c r="E51" s="9">
        <v>2</v>
      </c>
      <c r="F51" s="10">
        <v>2</v>
      </c>
      <c r="G51" s="9">
        <v>2</v>
      </c>
      <c r="H51" s="10">
        <v>4</v>
      </c>
      <c r="I51" s="9">
        <v>2</v>
      </c>
      <c r="J51" s="10">
        <v>3</v>
      </c>
      <c r="K51" s="9">
        <v>3</v>
      </c>
      <c r="L51" s="10">
        <v>1</v>
      </c>
      <c r="M51" s="9">
        <v>2</v>
      </c>
      <c r="N51" s="10">
        <v>2</v>
      </c>
      <c r="O51" s="9">
        <v>2</v>
      </c>
      <c r="P51" s="10">
        <v>3</v>
      </c>
      <c r="Q51" s="9">
        <v>3</v>
      </c>
      <c r="R51" s="10">
        <v>3</v>
      </c>
      <c r="S51" s="9">
        <v>2</v>
      </c>
      <c r="T51" s="10">
        <v>5</v>
      </c>
      <c r="U51" s="9">
        <v>2</v>
      </c>
      <c r="V51" s="10">
        <v>3</v>
      </c>
      <c r="W51" s="9">
        <v>3</v>
      </c>
      <c r="X51" s="10">
        <v>3</v>
      </c>
      <c r="Y51" s="9">
        <v>3</v>
      </c>
      <c r="Z51" s="10">
        <v>4</v>
      </c>
      <c r="AA51" s="9">
        <v>2</v>
      </c>
      <c r="AD51" s="61"/>
      <c r="AE51" s="61"/>
      <c r="AF51" s="15"/>
    </row>
    <row r="52" spans="1:46" ht="15.5" x14ac:dyDescent="0.3">
      <c r="A52" s="68"/>
      <c r="B52" s="68"/>
      <c r="C52" s="6" t="s">
        <v>20</v>
      </c>
      <c r="D52" s="10">
        <v>3</v>
      </c>
      <c r="E52" s="9">
        <v>3</v>
      </c>
      <c r="F52" s="10">
        <v>3</v>
      </c>
      <c r="G52" s="9">
        <v>2</v>
      </c>
      <c r="H52" s="10">
        <v>4</v>
      </c>
      <c r="I52" s="9">
        <v>2</v>
      </c>
      <c r="J52" s="10">
        <v>3</v>
      </c>
      <c r="K52" s="9">
        <v>2</v>
      </c>
      <c r="L52" s="10">
        <v>3</v>
      </c>
      <c r="M52" s="9">
        <v>3</v>
      </c>
      <c r="N52" s="10">
        <v>3</v>
      </c>
      <c r="O52" s="9">
        <v>2</v>
      </c>
      <c r="P52" s="10">
        <v>4</v>
      </c>
      <c r="Q52" s="9">
        <v>2</v>
      </c>
      <c r="R52" s="10">
        <v>3</v>
      </c>
      <c r="S52" s="9">
        <v>3</v>
      </c>
      <c r="T52" s="10">
        <v>2</v>
      </c>
      <c r="U52" s="9">
        <v>2</v>
      </c>
      <c r="V52" s="10">
        <v>2</v>
      </c>
      <c r="W52" s="9">
        <v>2</v>
      </c>
      <c r="X52" s="10">
        <v>3</v>
      </c>
      <c r="Y52" s="9">
        <v>2</v>
      </c>
      <c r="Z52" s="10">
        <v>3</v>
      </c>
      <c r="AA52" s="9">
        <v>3</v>
      </c>
      <c r="AD52" s="3" t="s">
        <v>29</v>
      </c>
      <c r="AE52" s="3" t="s">
        <v>1</v>
      </c>
      <c r="AF52" s="73" t="s">
        <v>2</v>
      </c>
      <c r="AG52" s="75" t="s">
        <v>3</v>
      </c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3"/>
      <c r="AT52" s="70" t="s">
        <v>47</v>
      </c>
    </row>
    <row r="53" spans="1:46" ht="15.5" x14ac:dyDescent="0.3">
      <c r="A53" s="69"/>
      <c r="B53" s="69"/>
      <c r="C53" s="6" t="s">
        <v>21</v>
      </c>
      <c r="D53" s="10">
        <v>4</v>
      </c>
      <c r="E53" s="9">
        <v>2</v>
      </c>
      <c r="F53" s="10">
        <v>3</v>
      </c>
      <c r="G53" s="9">
        <v>2</v>
      </c>
      <c r="H53" s="10">
        <v>4</v>
      </c>
      <c r="I53" s="9">
        <v>2</v>
      </c>
      <c r="J53" s="10">
        <v>4</v>
      </c>
      <c r="K53" s="9">
        <v>3</v>
      </c>
      <c r="L53" s="10">
        <v>4</v>
      </c>
      <c r="M53" s="9">
        <v>2</v>
      </c>
      <c r="N53" s="10">
        <v>3</v>
      </c>
      <c r="O53" s="9">
        <v>2</v>
      </c>
      <c r="P53" s="10">
        <v>4</v>
      </c>
      <c r="Q53" s="9">
        <v>2</v>
      </c>
      <c r="R53" s="10">
        <v>5</v>
      </c>
      <c r="S53" s="9">
        <v>2</v>
      </c>
      <c r="T53" s="10">
        <v>3</v>
      </c>
      <c r="U53" s="9">
        <v>3</v>
      </c>
      <c r="V53" s="10">
        <v>3</v>
      </c>
      <c r="W53" s="9">
        <v>2</v>
      </c>
      <c r="X53" s="10">
        <v>2</v>
      </c>
      <c r="Y53" s="9">
        <v>2</v>
      </c>
      <c r="Z53" s="10">
        <v>4</v>
      </c>
      <c r="AA53" s="9">
        <v>5</v>
      </c>
      <c r="AD53" s="70">
        <v>4</v>
      </c>
      <c r="AE53" s="70" t="s">
        <v>25</v>
      </c>
      <c r="AF53" s="73"/>
      <c r="AG53" s="75" t="s">
        <v>4</v>
      </c>
      <c r="AH53" s="75"/>
      <c r="AI53" s="75"/>
      <c r="AJ53" s="75"/>
      <c r="AK53" s="75" t="s">
        <v>11</v>
      </c>
      <c r="AL53" s="75"/>
      <c r="AM53" s="75"/>
      <c r="AN53" s="75"/>
      <c r="AO53" s="75" t="s">
        <v>12</v>
      </c>
      <c r="AP53" s="75"/>
      <c r="AQ53" s="75"/>
      <c r="AR53" s="75"/>
      <c r="AS53" s="3" t="s">
        <v>48</v>
      </c>
      <c r="AT53" s="71"/>
    </row>
    <row r="54" spans="1:46" x14ac:dyDescent="0.3">
      <c r="A54" s="59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D54" s="71"/>
      <c r="AE54" s="71"/>
      <c r="AF54" s="73"/>
      <c r="AG54" s="2" t="s">
        <v>5</v>
      </c>
      <c r="AH54" s="2" t="s">
        <v>7</v>
      </c>
      <c r="AI54" s="2" t="s">
        <v>8</v>
      </c>
      <c r="AJ54" s="2" t="s">
        <v>10</v>
      </c>
      <c r="AK54" s="2" t="s">
        <v>5</v>
      </c>
      <c r="AL54" s="2" t="s">
        <v>7</v>
      </c>
      <c r="AM54" s="2" t="s">
        <v>8</v>
      </c>
      <c r="AN54" s="2" t="s">
        <v>10</v>
      </c>
      <c r="AO54" s="2" t="s">
        <v>5</v>
      </c>
      <c r="AP54" s="2" t="s">
        <v>7</v>
      </c>
      <c r="AQ54" s="2" t="s">
        <v>8</v>
      </c>
      <c r="AR54" s="2" t="s">
        <v>10</v>
      </c>
      <c r="AS54" s="2"/>
      <c r="AT54" s="72"/>
    </row>
    <row r="55" spans="1:46" ht="15.5" x14ac:dyDescent="0.3">
      <c r="A55" s="9" t="s">
        <v>0</v>
      </c>
      <c r="B55" s="9" t="s">
        <v>1</v>
      </c>
      <c r="C55" s="79" t="s">
        <v>2</v>
      </c>
      <c r="D55" s="74" t="s">
        <v>3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D55" s="71"/>
      <c r="AE55" s="71"/>
      <c r="AF55" s="1" t="s">
        <v>13</v>
      </c>
      <c r="AG55" s="58">
        <f>SUM(D45*E45)/(Q99*D163)*100%</f>
        <v>1.7142857142857144E-2</v>
      </c>
      <c r="AH55" s="58">
        <f>SUM(F45*G45)/(Q99*E163)*100%</f>
        <v>1.1764705882352941E-2</v>
      </c>
      <c r="AI55" s="58">
        <f>SUM(H45*I45)/(Q99*F163)*100%</f>
        <v>1.8604651162790697E-2</v>
      </c>
      <c r="AJ55" s="58">
        <f>SUM(H45*I45)/(Q99*F163)*100%</f>
        <v>1.8604651162790697E-2</v>
      </c>
      <c r="AK55" s="58">
        <f>SUM(L45*M45)/(Q99*H163)*100%</f>
        <v>1.9512195121951219E-2</v>
      </c>
      <c r="AL55" s="58">
        <f>SUM(N45*O45)/(Q99*I163)*100%</f>
        <v>1.5789473684210527E-2</v>
      </c>
      <c r="AM55" s="58">
        <f>SUM(P45*Q45)/(Q99*J163)*100%</f>
        <v>2.1951219512195121E-2</v>
      </c>
      <c r="AN55" s="58">
        <f>SUM(R45*S45)/(Q99*K163)*100%</f>
        <v>1.7142857142857144E-2</v>
      </c>
      <c r="AO55" s="58">
        <f>SUM(T45*U45)/(Q99*L163)*100%</f>
        <v>2.7692307692307693E-2</v>
      </c>
      <c r="AP55" s="58">
        <f>SUM(V45*W45)/(Q99*M163)*100%</f>
        <v>2.2857142857142857E-2</v>
      </c>
      <c r="AQ55" s="58">
        <f>SUM(X45*Y45)/(Q99*N163)*100%</f>
        <v>3.9344262295081971E-2</v>
      </c>
      <c r="AR55" s="58">
        <f>SUM(Z45*AA45)/(Q99*O163)*100%</f>
        <v>1.5189873417721518E-2</v>
      </c>
      <c r="AS55" s="58">
        <f>SUM(AG55:AR55)</f>
        <v>0.24559619707425953</v>
      </c>
      <c r="AT55" s="58">
        <f t="shared" ref="AT55:AT63" si="12">AVERAGE(AG55:AR55)</f>
        <v>2.0466349756188294E-2</v>
      </c>
    </row>
    <row r="56" spans="1:46" ht="15.5" x14ac:dyDescent="0.3">
      <c r="A56" s="67">
        <v>5</v>
      </c>
      <c r="B56" s="67" t="s">
        <v>26</v>
      </c>
      <c r="C56" s="79"/>
      <c r="D56" s="74" t="s">
        <v>4</v>
      </c>
      <c r="E56" s="74"/>
      <c r="F56" s="74"/>
      <c r="G56" s="74"/>
      <c r="H56" s="74"/>
      <c r="I56" s="74"/>
      <c r="J56" s="74"/>
      <c r="K56" s="74"/>
      <c r="L56" s="74" t="s">
        <v>11</v>
      </c>
      <c r="M56" s="74"/>
      <c r="N56" s="74"/>
      <c r="O56" s="74"/>
      <c r="P56" s="74"/>
      <c r="Q56" s="74"/>
      <c r="R56" s="74"/>
      <c r="S56" s="74"/>
      <c r="T56" s="74" t="s">
        <v>12</v>
      </c>
      <c r="U56" s="74"/>
      <c r="V56" s="74"/>
      <c r="W56" s="74"/>
      <c r="X56" s="74"/>
      <c r="Y56" s="74"/>
      <c r="Z56" s="74"/>
      <c r="AA56" s="74"/>
      <c r="AD56" s="71"/>
      <c r="AE56" s="71"/>
      <c r="AF56" s="1" t="s">
        <v>14</v>
      </c>
      <c r="AG56" s="58">
        <f>SUM(D46*E46)/(Q99*D164)*100%</f>
        <v>2.903225806451613E-2</v>
      </c>
      <c r="AH56" s="58">
        <f>SUM(F46*G46)/(Q99*E164)*100%</f>
        <v>5.9016393442622953E-2</v>
      </c>
      <c r="AI56" s="58">
        <f>SUM(H46*I46)/(Q99*F164)*100%</f>
        <v>0.02</v>
      </c>
      <c r="AJ56" s="58">
        <f>SUM(J46*K46)/(Q99*G164)*100%</f>
        <v>3.2258064516129031E-2</v>
      </c>
      <c r="AK56" s="58">
        <f>SUM(L46*M46)/(Q99*H164)*100%</f>
        <v>6.4615384615384616E-2</v>
      </c>
      <c r="AL56" s="58">
        <f>SUM(N46*O46)/(Q99*I164)*100%</f>
        <v>2.0338983050847456E-2</v>
      </c>
      <c r="AM56" s="58">
        <f>SUM(P46*Q46)/(Q99*J164)*100%</f>
        <v>4.1379310344827586E-2</v>
      </c>
      <c r="AN56" s="58">
        <f>SUM(R46*S46)/(Q99*K164)*100%</f>
        <v>1.3793103448275862E-2</v>
      </c>
      <c r="AO56" s="58">
        <f>SUM(T46*U46)/(Q99*L164)*100%</f>
        <v>0.05</v>
      </c>
      <c r="AP56" s="58">
        <f>SUM(V46*W46)/(Q99*M164)*100%</f>
        <v>1.9672131147540985E-2</v>
      </c>
      <c r="AQ56" s="58">
        <f>SUM(X46*Y46)/(Q99*N164)*100%</f>
        <v>4.0677966101694912E-2</v>
      </c>
      <c r="AR56" s="58">
        <f>SUM(Z46*AA46)/(Q99*O164)*100%</f>
        <v>1.2903225806451613E-2</v>
      </c>
      <c r="AS56" s="58">
        <f t="shared" ref="AS56:AS63" si="13">SUM(AG56:AR56)</f>
        <v>0.40368682053829114</v>
      </c>
      <c r="AT56" s="58">
        <f t="shared" si="12"/>
        <v>3.3640568378190926E-2</v>
      </c>
    </row>
    <row r="57" spans="1:46" ht="15.5" x14ac:dyDescent="0.3">
      <c r="A57" s="68"/>
      <c r="B57" s="68"/>
      <c r="C57" s="79"/>
      <c r="D57" s="9" t="s">
        <v>5</v>
      </c>
      <c r="E57" s="9" t="s">
        <v>6</v>
      </c>
      <c r="F57" s="9" t="s">
        <v>7</v>
      </c>
      <c r="G57" s="9" t="s">
        <v>6</v>
      </c>
      <c r="H57" s="9" t="s">
        <v>8</v>
      </c>
      <c r="I57" s="9" t="s">
        <v>9</v>
      </c>
      <c r="J57" s="9" t="s">
        <v>10</v>
      </c>
      <c r="K57" s="9" t="s">
        <v>6</v>
      </c>
      <c r="L57" s="9" t="s">
        <v>5</v>
      </c>
      <c r="M57" s="9" t="s">
        <v>6</v>
      </c>
      <c r="N57" s="9" t="s">
        <v>7</v>
      </c>
      <c r="O57" s="9" t="s">
        <v>6</v>
      </c>
      <c r="P57" s="9" t="s">
        <v>8</v>
      </c>
      <c r="Q57" s="9" t="s">
        <v>9</v>
      </c>
      <c r="R57" s="9" t="s">
        <v>10</v>
      </c>
      <c r="S57" s="9" t="s">
        <v>6</v>
      </c>
      <c r="T57" s="9" t="s">
        <v>5</v>
      </c>
      <c r="U57" s="9" t="s">
        <v>6</v>
      </c>
      <c r="V57" s="9" t="s">
        <v>7</v>
      </c>
      <c r="W57" s="9" t="s">
        <v>6</v>
      </c>
      <c r="X57" s="9" t="s">
        <v>8</v>
      </c>
      <c r="Y57" s="9" t="s">
        <v>9</v>
      </c>
      <c r="Z57" s="9" t="s">
        <v>10</v>
      </c>
      <c r="AA57" s="9" t="s">
        <v>6</v>
      </c>
      <c r="AD57" s="71"/>
      <c r="AE57" s="71"/>
      <c r="AF57" s="1" t="s">
        <v>15</v>
      </c>
      <c r="AG57" s="58">
        <f>SUM(D47*E47)/(Q99*D165)*100%</f>
        <v>1.3333333333333334E-2</v>
      </c>
      <c r="AH57" s="58">
        <f>SUM(F47*G47)/(Q99*E165)*100%</f>
        <v>2.7118644067796609E-2</v>
      </c>
      <c r="AI57" s="58">
        <f>SUM(H47*I47)/(Q99*F165)*100%</f>
        <v>1.9672131147540985E-2</v>
      </c>
      <c r="AJ57" s="58">
        <f>SUM(J47*K47)/(Q99*G165)*100%</f>
        <v>3.2258064516129031E-2</v>
      </c>
      <c r="AK57" s="58">
        <f>SUM(L47*M47)/(Q99*H165)*100%</f>
        <v>1.3793103448275862E-2</v>
      </c>
      <c r="AL57" s="58">
        <f>SUM(N47*O47)/(Q99*I165)*100%</f>
        <v>2.5396825396825397E-2</v>
      </c>
      <c r="AM57" s="58">
        <f>SUM(P47*Q47)/(Q99*J165)*100%</f>
        <v>2.9508196721311476E-2</v>
      </c>
      <c r="AN57" s="58">
        <f>SUM(R47*S47)/(Q99*K165)*100%</f>
        <v>0</v>
      </c>
      <c r="AO57" s="58">
        <f>SUM(T47*U47)/(Q99*L165)*100%</f>
        <v>2.8125000000000001E-2</v>
      </c>
      <c r="AP57" s="58">
        <f>SUM(V47*W47)/(Q99*M165)*100%</f>
        <v>2.7118644067796609E-2</v>
      </c>
      <c r="AQ57" s="58">
        <f>SUM(X47*Y47)/(Q99*N165)*100%</f>
        <v>1.9672131147540985E-2</v>
      </c>
      <c r="AR57" s="58">
        <f>SUM(Z47*AA47)/(Q99*O165)*100%</f>
        <v>1.8461538461538463E-2</v>
      </c>
      <c r="AS57" s="58">
        <f t="shared" si="13"/>
        <v>0.25445761230808872</v>
      </c>
      <c r="AT57" s="58">
        <f t="shared" si="12"/>
        <v>2.1204801025674059E-2</v>
      </c>
    </row>
    <row r="58" spans="1:46" ht="15.5" x14ac:dyDescent="0.35">
      <c r="A58" s="68"/>
      <c r="B58" s="68"/>
      <c r="C58" s="6" t="s">
        <v>13</v>
      </c>
      <c r="D58" s="10">
        <v>2</v>
      </c>
      <c r="E58" s="13">
        <v>2</v>
      </c>
      <c r="F58" s="10">
        <v>1</v>
      </c>
      <c r="G58" s="13">
        <v>2</v>
      </c>
      <c r="H58" s="10">
        <v>0</v>
      </c>
      <c r="I58" s="13">
        <v>0</v>
      </c>
      <c r="J58" s="10">
        <v>2</v>
      </c>
      <c r="K58" s="13">
        <v>2</v>
      </c>
      <c r="L58" s="10">
        <v>3</v>
      </c>
      <c r="M58" s="13">
        <v>2</v>
      </c>
      <c r="N58" s="10">
        <v>2</v>
      </c>
      <c r="O58" s="13">
        <v>2</v>
      </c>
      <c r="P58" s="10">
        <v>3</v>
      </c>
      <c r="Q58" s="13">
        <v>2</v>
      </c>
      <c r="R58" s="10">
        <v>1</v>
      </c>
      <c r="S58" s="13">
        <v>2</v>
      </c>
      <c r="T58" s="10">
        <v>0</v>
      </c>
      <c r="U58" s="13">
        <v>0</v>
      </c>
      <c r="V58" s="10">
        <v>2</v>
      </c>
      <c r="W58" s="13">
        <v>3</v>
      </c>
      <c r="X58" s="10">
        <v>1</v>
      </c>
      <c r="Y58" s="13">
        <v>2</v>
      </c>
      <c r="Z58" s="10">
        <v>2</v>
      </c>
      <c r="AA58" s="13">
        <v>2</v>
      </c>
      <c r="AD58" s="71"/>
      <c r="AE58" s="71"/>
      <c r="AF58" s="1" t="s">
        <v>16</v>
      </c>
      <c r="AG58" s="58">
        <f>SUM(D48*E48)/(Q99*D166)*100%</f>
        <v>2.7692307692307693E-2</v>
      </c>
      <c r="AH58" s="58">
        <f>SUM(F48*G48)/(Q99*E166)*100%</f>
        <v>4.2105263157894736E-2</v>
      </c>
      <c r="AI58" s="58">
        <f>SUM(H48*I48)/(Q99*F166)*100%</f>
        <v>3.1372549019607843E-2</v>
      </c>
      <c r="AJ58" s="58">
        <f>SUM(J48*K48)/(Q99*G166)*100%</f>
        <v>5.8064516129032261E-2</v>
      </c>
      <c r="AK58" s="58">
        <f>SUM(L48*M48)/(Q99*H166)*100%</f>
        <v>1.1881188118811881E-2</v>
      </c>
      <c r="AL58" s="58">
        <f>SUM(N48*O48)/(Q99*I166)*100%</f>
        <v>4.4444444444444446E-2</v>
      </c>
      <c r="AM58" s="58">
        <f>SUM(P48*Q48)/(Q99*J166)*100%</f>
        <v>2.5000000000000001E-2</v>
      </c>
      <c r="AN58" s="58">
        <f>SUM(R48*S48)/(Q99*K166)*100%</f>
        <v>3.5820895522388062E-2</v>
      </c>
      <c r="AO58" s="58">
        <f>SUM(T48*U48)/(Q99*L166)*100%</f>
        <v>9.1304347826086957E-2</v>
      </c>
      <c r="AP58" s="58">
        <f>SUM(V48*W48)/(Q99*M166)*100%</f>
        <v>7.1999999999999995E-2</v>
      </c>
      <c r="AQ58" s="58">
        <f>SUM(X48*Y48)/(Q99*N166)*100%</f>
        <v>7.8873239436619724E-2</v>
      </c>
      <c r="AR58" s="58">
        <f>SUM(Z48*AA48)/(Q99*O166)*100%</f>
        <v>5.6000000000000001E-2</v>
      </c>
      <c r="AS58" s="58">
        <f t="shared" si="13"/>
        <v>0.5745587513471937</v>
      </c>
      <c r="AT58" s="58">
        <f t="shared" si="12"/>
        <v>4.7879895945599472E-2</v>
      </c>
    </row>
    <row r="59" spans="1:46" ht="15.5" x14ac:dyDescent="0.35">
      <c r="A59" s="68"/>
      <c r="B59" s="68"/>
      <c r="C59" s="6" t="s">
        <v>14</v>
      </c>
      <c r="D59" s="10">
        <v>3</v>
      </c>
      <c r="E59" s="13">
        <v>3</v>
      </c>
      <c r="F59" s="10">
        <v>0</v>
      </c>
      <c r="G59" s="13">
        <v>0</v>
      </c>
      <c r="H59" s="10">
        <v>4</v>
      </c>
      <c r="I59" s="13">
        <v>2</v>
      </c>
      <c r="J59" s="10">
        <v>6</v>
      </c>
      <c r="K59" s="13">
        <v>2</v>
      </c>
      <c r="L59" s="10">
        <v>7</v>
      </c>
      <c r="M59" s="13">
        <v>2</v>
      </c>
      <c r="N59" s="10">
        <v>4</v>
      </c>
      <c r="O59" s="13">
        <v>2</v>
      </c>
      <c r="P59" s="10">
        <v>5</v>
      </c>
      <c r="Q59" s="13">
        <v>2</v>
      </c>
      <c r="R59" s="10">
        <v>3</v>
      </c>
      <c r="S59" s="13">
        <v>2</v>
      </c>
      <c r="T59" s="10">
        <v>0</v>
      </c>
      <c r="U59" s="13">
        <v>0</v>
      </c>
      <c r="V59" s="10">
        <v>5</v>
      </c>
      <c r="W59" s="13">
        <v>3</v>
      </c>
      <c r="X59" s="10">
        <v>6</v>
      </c>
      <c r="Y59" s="13">
        <v>2</v>
      </c>
      <c r="Z59" s="10">
        <v>3</v>
      </c>
      <c r="AA59" s="13">
        <v>2</v>
      </c>
      <c r="AD59" s="71"/>
      <c r="AE59" s="71"/>
      <c r="AF59" s="1" t="s">
        <v>17</v>
      </c>
      <c r="AG59" s="58">
        <f>SUM(D49*E49)/(Q99*D167)*100%</f>
        <v>4.8648648648648651E-2</v>
      </c>
      <c r="AH59" s="58">
        <f>SUM(F49*G49)/(Q99*E167)*100%</f>
        <v>3.5087719298245612E-2</v>
      </c>
      <c r="AI59" s="58">
        <f>SUM(H49*I49)/(Q99*F167)*100%</f>
        <v>5.8823529411764705E-2</v>
      </c>
      <c r="AJ59" s="58">
        <f>SUM(J49*K49)/(Q99*G167)*100%</f>
        <v>3.870967741935484E-2</v>
      </c>
      <c r="AK59" s="58">
        <f>SUM(L49*M49)/(Q99*H167)*100%</f>
        <v>6.4285714285714279E-2</v>
      </c>
      <c r="AL59" s="58">
        <f>SUM(N49*O49)/(Q99*I167)*100%</f>
        <v>4.3478260869565216E-2</v>
      </c>
      <c r="AM59" s="58">
        <f>SUM(P49*Q49)/(Q99*J167)*100%</f>
        <v>3.2258064516129031E-2</v>
      </c>
      <c r="AN59" s="58">
        <f>SUM(R49*S49)/(Q99*K167)*100%</f>
        <v>4.8484848484848485E-2</v>
      </c>
      <c r="AO59" s="58">
        <f>SUM(T49*U49)/(Q99*L167)*100%</f>
        <v>5.7142857142857141E-2</v>
      </c>
      <c r="AP59" s="58">
        <f>SUM(V49*W49)/(Q99*M167)*100%</f>
        <v>9.1304347826086957E-2</v>
      </c>
      <c r="AQ59" s="58">
        <f>SUM(X49*Y49)/(Q99*N167)*100%</f>
        <v>0.1</v>
      </c>
      <c r="AR59" s="58">
        <f>SUM(Z49*AA49)/(Q99*O167)*100%</f>
        <v>8.4375000000000006E-2</v>
      </c>
      <c r="AS59" s="58">
        <f t="shared" si="13"/>
        <v>0.7025986679032149</v>
      </c>
      <c r="AT59" s="58">
        <f t="shared" si="12"/>
        <v>5.8549888991934577E-2</v>
      </c>
    </row>
    <row r="60" spans="1:46" ht="15.5" x14ac:dyDescent="0.35">
      <c r="A60" s="68"/>
      <c r="B60" s="68"/>
      <c r="C60" s="6" t="s">
        <v>15</v>
      </c>
      <c r="D60" s="10">
        <v>3</v>
      </c>
      <c r="E60" s="13">
        <v>2</v>
      </c>
      <c r="F60" s="10">
        <v>5</v>
      </c>
      <c r="G60" s="13">
        <v>2</v>
      </c>
      <c r="H60" s="10">
        <v>3</v>
      </c>
      <c r="I60" s="13">
        <v>2</v>
      </c>
      <c r="J60" s="10">
        <v>6</v>
      </c>
      <c r="K60" s="13">
        <v>2</v>
      </c>
      <c r="L60" s="10">
        <v>4</v>
      </c>
      <c r="M60" s="13">
        <v>2</v>
      </c>
      <c r="N60" s="10">
        <v>7</v>
      </c>
      <c r="O60" s="13">
        <v>3</v>
      </c>
      <c r="P60" s="10">
        <v>0</v>
      </c>
      <c r="Q60" s="13">
        <v>0</v>
      </c>
      <c r="R60" s="10">
        <v>6</v>
      </c>
      <c r="S60" s="13">
        <v>2</v>
      </c>
      <c r="T60" s="10">
        <v>4</v>
      </c>
      <c r="U60" s="13">
        <v>3</v>
      </c>
      <c r="V60" s="10">
        <v>5</v>
      </c>
      <c r="W60" s="13">
        <v>2</v>
      </c>
      <c r="X60" s="10">
        <v>3</v>
      </c>
      <c r="Y60" s="13">
        <v>2</v>
      </c>
      <c r="Z60" s="10">
        <v>2</v>
      </c>
      <c r="AA60" s="13">
        <v>2</v>
      </c>
      <c r="AD60" s="71"/>
      <c r="AE60" s="71"/>
      <c r="AF60" s="1" t="s">
        <v>18</v>
      </c>
      <c r="AG60" s="58">
        <f>SUM(D50*E50)/(Q99*D168)*100%</f>
        <v>7.2413793103448282E-2</v>
      </c>
      <c r="AH60" s="58">
        <f>SUM(F50*G50)/(Q99*E168)*100%</f>
        <v>5.4545454545454543E-2</v>
      </c>
      <c r="AI60" s="58">
        <f>SUM(H50*I50)/(Q99*F168)*100%</f>
        <v>0.04</v>
      </c>
      <c r="AJ60" s="58">
        <f>SUM(J50*K50)/(Q99*G168)*100%</f>
        <v>6.9230769230769235E-2</v>
      </c>
      <c r="AK60" s="58">
        <f>SUM(L50*M50)/(Q99*H168)*100%</f>
        <v>5.1219512195121948E-2</v>
      </c>
      <c r="AL60" s="58">
        <f>SUM(N50*O50)/(Q99*I168)*100%</f>
        <v>0.06</v>
      </c>
      <c r="AM60" s="58">
        <f>SUM(P50*Q50)/(Q99*J168)*100%</f>
        <v>4.363636363636364E-2</v>
      </c>
      <c r="AN60" s="58">
        <f>SUM(R50*S50)/(Q99*K168)*100%</f>
        <v>4.2857142857142858E-2</v>
      </c>
      <c r="AO60" s="58">
        <f>SUM(T50*U50)/(Q99*L168)*100%</f>
        <v>0.12</v>
      </c>
      <c r="AP60" s="58">
        <f>SUM(V50*W50)/(Q99*M168)*100%</f>
        <v>3.3333333333333333E-2</v>
      </c>
      <c r="AQ60" s="58">
        <f>SUM(X50*Y50)/(Q99*N168)*100%</f>
        <v>9.6000000000000002E-2</v>
      </c>
      <c r="AR60" s="58">
        <f>SUM(Z50*AA50)/(Q99*O168)*100%</f>
        <v>8.9361702127659579E-2</v>
      </c>
      <c r="AS60" s="58">
        <f t="shared" si="13"/>
        <v>0.77259807102929345</v>
      </c>
      <c r="AT60" s="58">
        <f t="shared" si="12"/>
        <v>6.4383172585774459E-2</v>
      </c>
    </row>
    <row r="61" spans="1:46" ht="15.5" x14ac:dyDescent="0.35">
      <c r="A61" s="68"/>
      <c r="B61" s="68"/>
      <c r="C61" s="6" t="s">
        <v>16</v>
      </c>
      <c r="D61" s="11">
        <v>5</v>
      </c>
      <c r="E61" s="13">
        <v>3</v>
      </c>
      <c r="F61" s="11">
        <v>6</v>
      </c>
      <c r="G61" s="13">
        <v>3</v>
      </c>
      <c r="H61" s="11">
        <v>5</v>
      </c>
      <c r="I61" s="13">
        <v>3</v>
      </c>
      <c r="J61" s="11">
        <v>7</v>
      </c>
      <c r="K61" s="13">
        <v>3</v>
      </c>
      <c r="L61" s="11">
        <v>6</v>
      </c>
      <c r="M61" s="13">
        <v>3</v>
      </c>
      <c r="N61" s="11">
        <v>8</v>
      </c>
      <c r="O61" s="13">
        <v>3</v>
      </c>
      <c r="P61" s="11">
        <v>7</v>
      </c>
      <c r="Q61" s="13">
        <v>3</v>
      </c>
      <c r="R61" s="11">
        <v>8</v>
      </c>
      <c r="S61" s="13">
        <v>3</v>
      </c>
      <c r="T61" s="11">
        <v>8</v>
      </c>
      <c r="U61" s="13">
        <v>3</v>
      </c>
      <c r="V61" s="11">
        <v>7</v>
      </c>
      <c r="W61" s="13">
        <v>3</v>
      </c>
      <c r="X61" s="11">
        <v>7</v>
      </c>
      <c r="Y61" s="13">
        <v>3</v>
      </c>
      <c r="Z61" s="11">
        <v>8</v>
      </c>
      <c r="AA61" s="13">
        <v>2</v>
      </c>
      <c r="AD61" s="71"/>
      <c r="AE61" s="71"/>
      <c r="AF61" s="1" t="s">
        <v>19</v>
      </c>
      <c r="AG61" s="58">
        <f>SUM(D51*E51)/(Q99*D169)*100%</f>
        <v>5.7142857142857143E-3</v>
      </c>
      <c r="AH61" s="58">
        <f>SUM(F51*G51)/(Q99*E169)*100%</f>
        <v>9.3023255813953487E-3</v>
      </c>
      <c r="AI61" s="58">
        <f>SUM(H51*I51)/(Q99*F169)*100%</f>
        <v>1.8823529411764704E-2</v>
      </c>
      <c r="AJ61" s="58">
        <f>SUM(J51*K51)/(Q99*G169)*100%</f>
        <v>2.3076923076923078E-2</v>
      </c>
      <c r="AK61" s="58">
        <f>SUM(L51*M51)/(Q99*H169)*100%</f>
        <v>8.1632653061224497E-3</v>
      </c>
      <c r="AL61" s="58">
        <f>SUM(N51*O51)/(Q99*I169)*100%</f>
        <v>8.988764044943821E-3</v>
      </c>
      <c r="AM61" s="58">
        <f>SUM(P51*Q51)/(Q99*J169)*100%</f>
        <v>2.2784810126582278E-2</v>
      </c>
      <c r="AN61" s="58">
        <f>SUM(R51*S51)/(Q99*K169)*100%</f>
        <v>1.4634146341463415E-2</v>
      </c>
      <c r="AO61" s="58">
        <f>SUM(T51*U51)/(Q99*L169)*100%</f>
        <v>3.0769230769230771E-2</v>
      </c>
      <c r="AP61" s="58">
        <f>SUM(V51*W51)/(Q99*M169)*100%</f>
        <v>2.903225806451613E-2</v>
      </c>
      <c r="AQ61" s="58">
        <f>SUM(X51*Y51)/(Q99*N169)*100%</f>
        <v>2.903225806451613E-2</v>
      </c>
      <c r="AR61" s="58">
        <f>SUM(Z51*AA51)/(Q99*O169)*100%</f>
        <v>2.9090909090909091E-2</v>
      </c>
      <c r="AS61" s="58">
        <f t="shared" si="13"/>
        <v>0.22941270559265289</v>
      </c>
      <c r="AT61" s="58">
        <f t="shared" si="12"/>
        <v>1.9117725466054409E-2</v>
      </c>
    </row>
    <row r="62" spans="1:46" ht="15.5" x14ac:dyDescent="0.35">
      <c r="A62" s="68"/>
      <c r="B62" s="68"/>
      <c r="C62" s="6" t="s">
        <v>17</v>
      </c>
      <c r="D62" s="11">
        <v>5</v>
      </c>
      <c r="E62" s="13">
        <v>2</v>
      </c>
      <c r="F62" s="11">
        <v>7</v>
      </c>
      <c r="G62" s="13">
        <v>2</v>
      </c>
      <c r="H62" s="11">
        <v>7</v>
      </c>
      <c r="I62" s="13">
        <v>3</v>
      </c>
      <c r="J62" s="11">
        <v>8</v>
      </c>
      <c r="K62" s="13">
        <v>2</v>
      </c>
      <c r="L62" s="11">
        <v>3</v>
      </c>
      <c r="M62" s="13">
        <v>2</v>
      </c>
      <c r="N62" s="11">
        <v>5</v>
      </c>
      <c r="O62" s="13">
        <v>3</v>
      </c>
      <c r="P62" s="11">
        <v>4</v>
      </c>
      <c r="Q62" s="13">
        <v>2</v>
      </c>
      <c r="R62" s="11">
        <v>7</v>
      </c>
      <c r="S62" s="13">
        <v>2</v>
      </c>
      <c r="T62" s="11">
        <v>6</v>
      </c>
      <c r="U62" s="13">
        <v>3</v>
      </c>
      <c r="V62" s="11">
        <v>8</v>
      </c>
      <c r="W62" s="13">
        <v>3</v>
      </c>
      <c r="X62" s="11">
        <v>7</v>
      </c>
      <c r="Y62" s="13">
        <v>2</v>
      </c>
      <c r="Z62" s="11">
        <v>8</v>
      </c>
      <c r="AA62" s="13">
        <v>2</v>
      </c>
      <c r="AD62" s="71"/>
      <c r="AE62" s="71"/>
      <c r="AF62" s="1" t="s">
        <v>20</v>
      </c>
      <c r="AG62" s="58">
        <f>SUM(D52*E52)/(Q99*D170)*100%</f>
        <v>1.8556701030927835E-2</v>
      </c>
      <c r="AH62" s="58">
        <f>SUM(F52*G52)/(Q99*E170)*100%</f>
        <v>1.2631578947368421E-2</v>
      </c>
      <c r="AI62" s="58">
        <f>SUM(H52*I52)/(Q99*F170)*100%</f>
        <v>1.9512195121951219E-2</v>
      </c>
      <c r="AJ62" s="58">
        <f>SUM(J52*K52)/(Q99*G170)*100%</f>
        <v>2.0338983050847456E-2</v>
      </c>
      <c r="AK62" s="58">
        <f>SUM(L52*M52)/(Q99*H170)*100%</f>
        <v>3.0508474576271188E-2</v>
      </c>
      <c r="AL62" s="58">
        <f>SUM(N52*O52)/(Q99*I170)*100%</f>
        <v>2.4489795918367346E-2</v>
      </c>
      <c r="AM62" s="58">
        <f>SUM(P52*Q52)/(Q99*J170)*100%</f>
        <v>2.0779220779220779E-2</v>
      </c>
      <c r="AN62" s="58">
        <f>SUM(R52*S52)/(Q99*K170)*100%</f>
        <v>1.935483870967742E-2</v>
      </c>
      <c r="AO62" s="58">
        <f>SUM(T52*U52)/(Q99*L170)*100%</f>
        <v>8.5106382978723406E-3</v>
      </c>
      <c r="AP62" s="58">
        <f>SUM(V52*W52)/(Q99*M170)*100%</f>
        <v>1.2500000000000001E-2</v>
      </c>
      <c r="AQ62" s="58">
        <f>SUM(X52*Y52)/(Q99*N170)*100%</f>
        <v>1.0714285714285714E-2</v>
      </c>
      <c r="AR62" s="58">
        <f>SUM(Z52*AA52)/(Q99*O170)*100%</f>
        <v>3.0508474576271188E-2</v>
      </c>
      <c r="AS62" s="58">
        <f t="shared" si="13"/>
        <v>0.2284051867230609</v>
      </c>
      <c r="AT62" s="58">
        <f t="shared" si="12"/>
        <v>1.9033765560255076E-2</v>
      </c>
    </row>
    <row r="63" spans="1:46" ht="15.5" x14ac:dyDescent="0.35">
      <c r="A63" s="68"/>
      <c r="B63" s="68"/>
      <c r="C63" s="6" t="s">
        <v>18</v>
      </c>
      <c r="D63" s="11">
        <v>8</v>
      </c>
      <c r="E63" s="13">
        <v>2</v>
      </c>
      <c r="F63" s="11">
        <v>6</v>
      </c>
      <c r="G63" s="13">
        <v>2</v>
      </c>
      <c r="H63" s="11">
        <v>5</v>
      </c>
      <c r="I63" s="13">
        <v>2</v>
      </c>
      <c r="J63" s="11">
        <v>7</v>
      </c>
      <c r="K63" s="13">
        <v>2</v>
      </c>
      <c r="L63" s="11">
        <v>5</v>
      </c>
      <c r="M63" s="13">
        <v>2</v>
      </c>
      <c r="N63" s="11">
        <v>6</v>
      </c>
      <c r="O63" s="13">
        <v>3</v>
      </c>
      <c r="P63" s="11">
        <v>8</v>
      </c>
      <c r="Q63" s="13">
        <v>2</v>
      </c>
      <c r="R63" s="11">
        <v>5</v>
      </c>
      <c r="S63" s="13">
        <v>2</v>
      </c>
      <c r="T63" s="11">
        <v>8</v>
      </c>
      <c r="U63" s="13">
        <v>2</v>
      </c>
      <c r="V63" s="11">
        <v>6</v>
      </c>
      <c r="W63" s="13">
        <v>2</v>
      </c>
      <c r="X63" s="11">
        <v>9</v>
      </c>
      <c r="Y63" s="13">
        <v>3</v>
      </c>
      <c r="Z63" s="11">
        <v>7</v>
      </c>
      <c r="AA63" s="13">
        <v>2</v>
      </c>
      <c r="AD63" s="71"/>
      <c r="AE63" s="71"/>
      <c r="AF63" s="1" t="s">
        <v>21</v>
      </c>
      <c r="AG63" s="58">
        <f>SUM(D53*E53)/(Q99*D171)*100%</f>
        <v>2.7118644067796609E-2</v>
      </c>
      <c r="AH63" s="58">
        <f>SUM(F53*G53)/(Q99*E171)*100%</f>
        <v>1.3483146067415731E-2</v>
      </c>
      <c r="AI63" s="58">
        <f>SUM(H53*I53)/(Q99*F171)*100%</f>
        <v>1.3223140495867768E-2</v>
      </c>
      <c r="AJ63" s="58">
        <f>SUM(J53*K53)/(Q99*G171)*100%</f>
        <v>2.4489795918367346E-2</v>
      </c>
      <c r="AK63" s="58">
        <f>SUM(L53*M53)/(Q99*H171)*100%</f>
        <v>1.5841584158415842E-2</v>
      </c>
      <c r="AL63" s="58">
        <f>SUM(N53*O53)/(Q99*I171)*100%</f>
        <v>2.0338983050847456E-2</v>
      </c>
      <c r="AM63" s="58">
        <f>SUM(P53*Q53)/(Q99*J171)*100%</f>
        <v>2.6229508196721311E-2</v>
      </c>
      <c r="AN63" s="58">
        <f>SUM(R53*S53)/(Q99*K171)*100%</f>
        <v>2.9411764705882353E-2</v>
      </c>
      <c r="AO63" s="58">
        <f>SUM(T53*U53)/(Q99*L171)*100%</f>
        <v>1.7475728155339806E-2</v>
      </c>
      <c r="AP63" s="58">
        <f>SUM(V53*W53)/(Q99*M171)*100%</f>
        <v>1.4457831325301205E-2</v>
      </c>
      <c r="AQ63" s="58">
        <f>SUM(X53*Y53)/(Q99*N171)*100%</f>
        <v>9.6385542168674707E-3</v>
      </c>
      <c r="AR63" s="58">
        <f>SUM(Z53*AA53)/(Q99*O171)*100%</f>
        <v>7.0175438596491224E-2</v>
      </c>
      <c r="AS63" s="58">
        <f t="shared" si="13"/>
        <v>0.28188411895531418</v>
      </c>
      <c r="AT63" s="58">
        <f t="shared" si="12"/>
        <v>2.349034324627618E-2</v>
      </c>
    </row>
    <row r="64" spans="1:46" ht="15.5" x14ac:dyDescent="0.35">
      <c r="A64" s="68"/>
      <c r="B64" s="68"/>
      <c r="C64" s="6" t="s">
        <v>19</v>
      </c>
      <c r="D64" s="10">
        <v>3</v>
      </c>
      <c r="E64" s="13">
        <v>2</v>
      </c>
      <c r="F64" s="10">
        <v>3</v>
      </c>
      <c r="G64" s="13">
        <v>2</v>
      </c>
      <c r="H64" s="10">
        <v>4</v>
      </c>
      <c r="I64" s="13">
        <v>2</v>
      </c>
      <c r="J64" s="10">
        <v>2</v>
      </c>
      <c r="K64" s="13">
        <v>2</v>
      </c>
      <c r="L64" s="10">
        <v>0</v>
      </c>
      <c r="M64" s="13">
        <v>0</v>
      </c>
      <c r="N64" s="10">
        <v>3</v>
      </c>
      <c r="O64" s="13">
        <v>2</v>
      </c>
      <c r="P64" s="10">
        <v>4</v>
      </c>
      <c r="Q64" s="13">
        <v>2</v>
      </c>
      <c r="R64" s="10">
        <v>2</v>
      </c>
      <c r="S64" s="13">
        <v>2</v>
      </c>
      <c r="T64" s="10">
        <v>2</v>
      </c>
      <c r="U64" s="13">
        <v>3</v>
      </c>
      <c r="V64" s="10">
        <v>3</v>
      </c>
      <c r="W64" s="13">
        <v>3</v>
      </c>
      <c r="X64" s="10">
        <v>2</v>
      </c>
      <c r="Y64" s="13">
        <v>2</v>
      </c>
      <c r="Z64" s="10">
        <v>0</v>
      </c>
      <c r="AA64" s="13">
        <v>0</v>
      </c>
      <c r="AD64" s="71"/>
      <c r="AE64" s="71"/>
      <c r="AF64" s="1" t="s">
        <v>48</v>
      </c>
      <c r="AG64" s="58">
        <f>SUM(AG55:AG63)</f>
        <v>0.2596528287981214</v>
      </c>
      <c r="AH64" s="58">
        <f t="shared" ref="AH64:AR64" si="14">SUM(AH55:AH63)</f>
        <v>0.2650552309905469</v>
      </c>
      <c r="AI64" s="58">
        <f t="shared" si="14"/>
        <v>0.24003172577128792</v>
      </c>
      <c r="AJ64" s="58">
        <f t="shared" si="14"/>
        <v>0.31703144502034303</v>
      </c>
      <c r="AK64" s="58">
        <f t="shared" si="14"/>
        <v>0.27982042182606931</v>
      </c>
      <c r="AL64" s="58">
        <f t="shared" si="14"/>
        <v>0.26326553046005163</v>
      </c>
      <c r="AM64" s="58">
        <f t="shared" si="14"/>
        <v>0.2635266938333512</v>
      </c>
      <c r="AN64" s="58">
        <f t="shared" si="14"/>
        <v>0.22149959721253559</v>
      </c>
      <c r="AO64" s="58">
        <f t="shared" si="14"/>
        <v>0.43102010988369477</v>
      </c>
      <c r="AP64" s="58">
        <f t="shared" si="14"/>
        <v>0.32227568862171813</v>
      </c>
      <c r="AQ64" s="58">
        <f t="shared" si="14"/>
        <v>0.42395269697660698</v>
      </c>
      <c r="AR64" s="58">
        <f t="shared" si="14"/>
        <v>0.40606616207704271</v>
      </c>
      <c r="AS64" s="58">
        <f>SUM(AS55:AS63)</f>
        <v>3.6931981314713695</v>
      </c>
      <c r="AT64" s="58"/>
    </row>
    <row r="65" spans="1:46" ht="15.5" x14ac:dyDescent="0.35">
      <c r="A65" s="68"/>
      <c r="B65" s="68"/>
      <c r="C65" s="6" t="s">
        <v>20</v>
      </c>
      <c r="D65" s="10">
        <v>0</v>
      </c>
      <c r="E65" s="13">
        <v>0</v>
      </c>
      <c r="F65" s="10">
        <v>0</v>
      </c>
      <c r="G65" s="13">
        <v>0</v>
      </c>
      <c r="H65" s="10">
        <v>4</v>
      </c>
      <c r="I65" s="13">
        <v>2</v>
      </c>
      <c r="J65" s="10">
        <v>0</v>
      </c>
      <c r="K65" s="13">
        <v>0</v>
      </c>
      <c r="L65" s="10">
        <v>0</v>
      </c>
      <c r="M65" s="13">
        <v>0</v>
      </c>
      <c r="N65" s="10">
        <v>0</v>
      </c>
      <c r="O65" s="13">
        <v>0</v>
      </c>
      <c r="P65" s="10">
        <v>0</v>
      </c>
      <c r="Q65" s="13">
        <v>0</v>
      </c>
      <c r="R65" s="10">
        <v>0</v>
      </c>
      <c r="S65" s="13">
        <v>0</v>
      </c>
      <c r="T65" s="10">
        <v>4</v>
      </c>
      <c r="U65" s="13">
        <v>3</v>
      </c>
      <c r="V65" s="10">
        <v>4</v>
      </c>
      <c r="W65" s="13">
        <v>3</v>
      </c>
      <c r="X65" s="10">
        <v>3</v>
      </c>
      <c r="Y65" s="13">
        <v>3</v>
      </c>
      <c r="Z65" s="10">
        <v>2</v>
      </c>
      <c r="AA65" s="13">
        <v>2</v>
      </c>
      <c r="AD65" s="72"/>
      <c r="AE65" s="72"/>
      <c r="AF65" s="1" t="s">
        <v>47</v>
      </c>
      <c r="AG65" s="58">
        <f t="shared" ref="AG65:AR65" si="15">AVERAGE(AG55:AG63)</f>
        <v>2.8850314310902379E-2</v>
      </c>
      <c r="AH65" s="58">
        <f t="shared" si="15"/>
        <v>2.9450581221171876E-2</v>
      </c>
      <c r="AI65" s="58">
        <f t="shared" si="15"/>
        <v>2.6670191752365326E-2</v>
      </c>
      <c r="AJ65" s="58">
        <f t="shared" si="15"/>
        <v>3.5225716113371448E-2</v>
      </c>
      <c r="AK65" s="58">
        <f t="shared" si="15"/>
        <v>3.1091157980674369E-2</v>
      </c>
      <c r="AL65" s="58">
        <f t="shared" si="15"/>
        <v>2.9251725606672403E-2</v>
      </c>
      <c r="AM65" s="58">
        <f t="shared" si="15"/>
        <v>2.9280743759261246E-2</v>
      </c>
      <c r="AN65" s="58">
        <f t="shared" si="15"/>
        <v>2.4611066356948399E-2</v>
      </c>
      <c r="AO65" s="58">
        <f t="shared" si="15"/>
        <v>4.7891123320410532E-2</v>
      </c>
      <c r="AP65" s="58">
        <f t="shared" si="15"/>
        <v>3.580840984685757E-2</v>
      </c>
      <c r="AQ65" s="58">
        <f t="shared" si="15"/>
        <v>4.7105855219622995E-2</v>
      </c>
      <c r="AR65" s="58">
        <f t="shared" si="15"/>
        <v>4.5118462453004743E-2</v>
      </c>
      <c r="AS65" s="58"/>
      <c r="AT65" s="58"/>
    </row>
    <row r="66" spans="1:46" ht="15.5" x14ac:dyDescent="0.35">
      <c r="A66" s="69"/>
      <c r="B66" s="69"/>
      <c r="C66" s="6" t="s">
        <v>21</v>
      </c>
      <c r="D66" s="10">
        <v>4</v>
      </c>
      <c r="E66" s="13">
        <v>2</v>
      </c>
      <c r="F66" s="10">
        <v>2</v>
      </c>
      <c r="G66" s="13">
        <v>2</v>
      </c>
      <c r="H66" s="10">
        <v>0</v>
      </c>
      <c r="I66" s="13">
        <v>0</v>
      </c>
      <c r="J66" s="10">
        <v>0</v>
      </c>
      <c r="K66" s="13">
        <v>0</v>
      </c>
      <c r="L66" s="10">
        <v>3</v>
      </c>
      <c r="M66" s="13">
        <v>2</v>
      </c>
      <c r="N66" s="10">
        <v>3</v>
      </c>
      <c r="O66" s="13">
        <v>2</v>
      </c>
      <c r="P66" s="10">
        <v>0</v>
      </c>
      <c r="Q66" s="13">
        <v>0</v>
      </c>
      <c r="R66" s="10">
        <v>0</v>
      </c>
      <c r="S66" s="13">
        <v>0</v>
      </c>
      <c r="T66" s="10">
        <v>0</v>
      </c>
      <c r="U66" s="13">
        <v>0</v>
      </c>
      <c r="V66" s="10">
        <v>0</v>
      </c>
      <c r="W66" s="13">
        <v>0</v>
      </c>
      <c r="X66" s="10">
        <v>0</v>
      </c>
      <c r="Y66" s="13">
        <v>0</v>
      </c>
      <c r="Z66" s="10">
        <v>0</v>
      </c>
      <c r="AA66" s="13">
        <v>0</v>
      </c>
      <c r="AD66" s="61"/>
      <c r="AE66" s="61"/>
      <c r="AF66" s="15"/>
    </row>
    <row r="67" spans="1:46" ht="15.5" x14ac:dyDescent="0.3">
      <c r="A67" s="53"/>
      <c r="B67" s="53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D67" s="61"/>
      <c r="AE67" s="61"/>
      <c r="AF67" s="15"/>
    </row>
    <row r="68" spans="1:46" x14ac:dyDescent="0.3">
      <c r="A68" s="3" t="s">
        <v>0</v>
      </c>
      <c r="B68" s="3" t="s">
        <v>1</v>
      </c>
      <c r="C68" s="79" t="s">
        <v>2</v>
      </c>
      <c r="D68" s="74" t="s">
        <v>3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D68" s="3" t="s">
        <v>29</v>
      </c>
      <c r="AE68" s="3" t="s">
        <v>1</v>
      </c>
      <c r="AF68" s="73" t="s">
        <v>2</v>
      </c>
      <c r="AG68" s="75" t="s">
        <v>3</v>
      </c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29"/>
      <c r="AT68" s="70" t="s">
        <v>47</v>
      </c>
    </row>
    <row r="69" spans="1:46" x14ac:dyDescent="0.3">
      <c r="A69" s="70">
        <v>6</v>
      </c>
      <c r="B69" s="70" t="s">
        <v>27</v>
      </c>
      <c r="C69" s="79"/>
      <c r="D69" s="74" t="s">
        <v>4</v>
      </c>
      <c r="E69" s="74"/>
      <c r="F69" s="74"/>
      <c r="G69" s="74"/>
      <c r="H69" s="74"/>
      <c r="I69" s="74"/>
      <c r="J69" s="74"/>
      <c r="K69" s="74"/>
      <c r="L69" s="74" t="s">
        <v>11</v>
      </c>
      <c r="M69" s="74"/>
      <c r="N69" s="74"/>
      <c r="O69" s="74"/>
      <c r="P69" s="74"/>
      <c r="Q69" s="74"/>
      <c r="R69" s="74"/>
      <c r="S69" s="74"/>
      <c r="T69" s="74" t="s">
        <v>12</v>
      </c>
      <c r="U69" s="74"/>
      <c r="V69" s="74"/>
      <c r="W69" s="74"/>
      <c r="X69" s="74"/>
      <c r="Y69" s="74"/>
      <c r="Z69" s="74"/>
      <c r="AA69" s="74"/>
      <c r="AD69" s="70">
        <v>5</v>
      </c>
      <c r="AE69" s="70" t="s">
        <v>26</v>
      </c>
      <c r="AF69" s="73"/>
      <c r="AG69" s="75" t="s">
        <v>4</v>
      </c>
      <c r="AH69" s="75"/>
      <c r="AI69" s="75"/>
      <c r="AJ69" s="75"/>
      <c r="AK69" s="75" t="s">
        <v>11</v>
      </c>
      <c r="AL69" s="75"/>
      <c r="AM69" s="75"/>
      <c r="AN69" s="75"/>
      <c r="AO69" s="75" t="s">
        <v>12</v>
      </c>
      <c r="AP69" s="75"/>
      <c r="AQ69" s="75"/>
      <c r="AR69" s="75"/>
      <c r="AS69" s="30" t="s">
        <v>48</v>
      </c>
      <c r="AT69" s="71"/>
    </row>
    <row r="70" spans="1:46" x14ac:dyDescent="0.3">
      <c r="A70" s="71"/>
      <c r="B70" s="71"/>
      <c r="C70" s="79"/>
      <c r="D70" s="9" t="s">
        <v>5</v>
      </c>
      <c r="E70" s="9" t="s">
        <v>6</v>
      </c>
      <c r="F70" s="9" t="s">
        <v>7</v>
      </c>
      <c r="G70" s="9" t="s">
        <v>6</v>
      </c>
      <c r="H70" s="9" t="s">
        <v>8</v>
      </c>
      <c r="I70" s="9" t="s">
        <v>9</v>
      </c>
      <c r="J70" s="9" t="s">
        <v>10</v>
      </c>
      <c r="K70" s="9" t="s">
        <v>6</v>
      </c>
      <c r="L70" s="9" t="s">
        <v>5</v>
      </c>
      <c r="M70" s="9" t="s">
        <v>6</v>
      </c>
      <c r="N70" s="9" t="s">
        <v>7</v>
      </c>
      <c r="O70" s="9" t="s">
        <v>6</v>
      </c>
      <c r="P70" s="9" t="s">
        <v>8</v>
      </c>
      <c r="Q70" s="9" t="s">
        <v>9</v>
      </c>
      <c r="R70" s="9" t="s">
        <v>10</v>
      </c>
      <c r="S70" s="9" t="s">
        <v>6</v>
      </c>
      <c r="T70" s="9" t="s">
        <v>5</v>
      </c>
      <c r="U70" s="9" t="s">
        <v>6</v>
      </c>
      <c r="V70" s="9" t="s">
        <v>7</v>
      </c>
      <c r="W70" s="9" t="s">
        <v>6</v>
      </c>
      <c r="X70" s="9" t="s">
        <v>8</v>
      </c>
      <c r="Y70" s="9" t="s">
        <v>9</v>
      </c>
      <c r="Z70" s="9" t="s">
        <v>10</v>
      </c>
      <c r="AA70" s="9" t="s">
        <v>6</v>
      </c>
      <c r="AD70" s="71"/>
      <c r="AE70" s="71"/>
      <c r="AF70" s="73"/>
      <c r="AG70" s="2" t="s">
        <v>5</v>
      </c>
      <c r="AH70" s="2" t="s">
        <v>7</v>
      </c>
      <c r="AI70" s="2" t="s">
        <v>8</v>
      </c>
      <c r="AJ70" s="2" t="s">
        <v>10</v>
      </c>
      <c r="AK70" s="2" t="s">
        <v>5</v>
      </c>
      <c r="AL70" s="2" t="s">
        <v>7</v>
      </c>
      <c r="AM70" s="2" t="s">
        <v>8</v>
      </c>
      <c r="AN70" s="2" t="s">
        <v>10</v>
      </c>
      <c r="AO70" s="2" t="s">
        <v>5</v>
      </c>
      <c r="AP70" s="2" t="s">
        <v>7</v>
      </c>
      <c r="AQ70" s="2" t="s">
        <v>8</v>
      </c>
      <c r="AR70" s="2" t="s">
        <v>10</v>
      </c>
      <c r="AS70" s="34"/>
      <c r="AT70" s="72"/>
    </row>
    <row r="71" spans="1:46" ht="15.5" x14ac:dyDescent="0.3">
      <c r="A71" s="71"/>
      <c r="B71" s="71"/>
      <c r="C71" s="6" t="s">
        <v>13</v>
      </c>
      <c r="D71" s="10">
        <v>3</v>
      </c>
      <c r="E71" s="9">
        <v>2</v>
      </c>
      <c r="F71" s="10">
        <v>2</v>
      </c>
      <c r="G71" s="9">
        <v>2</v>
      </c>
      <c r="H71" s="10">
        <v>2</v>
      </c>
      <c r="I71" s="9">
        <v>2</v>
      </c>
      <c r="J71" s="10">
        <v>2</v>
      </c>
      <c r="K71" s="9">
        <v>1</v>
      </c>
      <c r="L71" s="10">
        <v>3</v>
      </c>
      <c r="M71" s="9">
        <v>2</v>
      </c>
      <c r="N71" s="10">
        <v>3</v>
      </c>
      <c r="O71" s="9">
        <v>2</v>
      </c>
      <c r="P71" s="10">
        <v>1</v>
      </c>
      <c r="Q71" s="9">
        <v>2</v>
      </c>
      <c r="R71" s="10">
        <v>2</v>
      </c>
      <c r="S71" s="9">
        <v>2</v>
      </c>
      <c r="T71" s="10">
        <v>2</v>
      </c>
      <c r="U71" s="9">
        <v>2</v>
      </c>
      <c r="V71" s="10">
        <v>3</v>
      </c>
      <c r="W71" s="9">
        <v>2</v>
      </c>
      <c r="X71" s="10">
        <v>1</v>
      </c>
      <c r="Y71" s="9">
        <v>2</v>
      </c>
      <c r="Z71" s="10">
        <v>2</v>
      </c>
      <c r="AA71" s="9">
        <v>2</v>
      </c>
      <c r="AD71" s="71"/>
      <c r="AE71" s="71"/>
      <c r="AF71" s="1" t="s">
        <v>13</v>
      </c>
      <c r="AG71" s="58">
        <f>SUM(D58*E58)/(Q99*D176)*100%</f>
        <v>1.2307692307692308E-2</v>
      </c>
      <c r="AH71" s="58">
        <f>SUM(F58*G58)/(Q99*E176)*100%</f>
        <v>5.7142857142857143E-3</v>
      </c>
      <c r="AI71" s="58">
        <f>SUM(H58*I58)/(Q99*F176)*100%</f>
        <v>0</v>
      </c>
      <c r="AJ71" s="58">
        <f>SUM(J58*K58)/(Q99*G176)*100%</f>
        <v>9.876543209876543E-3</v>
      </c>
      <c r="AK71" s="58">
        <f>SUM(L58*M58)/(Q99*H176)*100%</f>
        <v>2.6666666666666668E-2</v>
      </c>
      <c r="AL71" s="58">
        <f>SUM(N58*O58)/(Q99*I176)*100%</f>
        <v>1.0810810810810811E-2</v>
      </c>
      <c r="AM71" s="58">
        <f>SUM(P58*Q58)/(Q99*J176)*100%</f>
        <v>1.4999999999999999E-2</v>
      </c>
      <c r="AN71" s="58">
        <f>SUM(R58*S58)/(Q99*K176)*100%</f>
        <v>5.4794520547945206E-3</v>
      </c>
      <c r="AO71" s="58">
        <f>SUM(T58*U58)/(Q99*L176)*100%</f>
        <v>0</v>
      </c>
      <c r="AP71" s="58">
        <f>SUM(V58*W58)/(Q99*M176)*100%</f>
        <v>1.7142857142857144E-2</v>
      </c>
      <c r="AQ71" s="58">
        <f>SUM(X58*Y58)/(Q99*N176)*100%</f>
        <v>5.9701492537313433E-3</v>
      </c>
      <c r="AR71" s="58">
        <f>SUM(Z58*AA58)/(Q99*O176)*100%</f>
        <v>1.038961038961039E-2</v>
      </c>
      <c r="AS71" s="58">
        <f>SUM(AG71:AR71)</f>
        <v>0.11935806755032545</v>
      </c>
      <c r="AT71" s="58">
        <f t="shared" ref="AT71:AT79" si="16">AVERAGE(AG71:AR71)</f>
        <v>9.9465056291937869E-3</v>
      </c>
    </row>
    <row r="72" spans="1:46" ht="15.5" x14ac:dyDescent="0.3">
      <c r="A72" s="71"/>
      <c r="B72" s="71"/>
      <c r="C72" s="6" t="s">
        <v>14</v>
      </c>
      <c r="D72" s="10">
        <v>3</v>
      </c>
      <c r="E72" s="9">
        <v>2</v>
      </c>
      <c r="F72" s="10">
        <v>4</v>
      </c>
      <c r="G72" s="9">
        <v>2</v>
      </c>
      <c r="H72" s="10">
        <v>2</v>
      </c>
      <c r="I72" s="9">
        <v>2</v>
      </c>
      <c r="J72" s="10">
        <v>5</v>
      </c>
      <c r="K72" s="9">
        <v>2</v>
      </c>
      <c r="L72" s="10">
        <v>4</v>
      </c>
      <c r="M72" s="9">
        <v>2</v>
      </c>
      <c r="N72" s="10">
        <v>3</v>
      </c>
      <c r="O72" s="9">
        <v>2</v>
      </c>
      <c r="P72" s="10">
        <v>5</v>
      </c>
      <c r="Q72" s="9">
        <v>3</v>
      </c>
      <c r="R72" s="10">
        <v>6</v>
      </c>
      <c r="S72" s="9">
        <v>1</v>
      </c>
      <c r="T72" s="10">
        <v>3</v>
      </c>
      <c r="U72" s="9">
        <v>1</v>
      </c>
      <c r="V72" s="10">
        <v>7</v>
      </c>
      <c r="W72" s="9">
        <v>1</v>
      </c>
      <c r="X72" s="10">
        <v>4</v>
      </c>
      <c r="Y72" s="9">
        <v>2</v>
      </c>
      <c r="Z72" s="10">
        <v>5</v>
      </c>
      <c r="AA72" s="9">
        <v>2</v>
      </c>
      <c r="AD72" s="71"/>
      <c r="AE72" s="71"/>
      <c r="AF72" s="1" t="s">
        <v>14</v>
      </c>
      <c r="AG72" s="58">
        <f>SUM(D59*E59)/(Q99*D177)*100%</f>
        <v>2.7692307692307693E-2</v>
      </c>
      <c r="AH72" s="58">
        <f>SUM(F59*G59)/(Q99*E177)*100%</f>
        <v>0</v>
      </c>
      <c r="AI72" s="58">
        <f>SUM(H59*I59)/(Q99*F177)*100%</f>
        <v>2.3880597014925373E-2</v>
      </c>
      <c r="AJ72" s="58">
        <f>SUM(J59*K59)/(Q99*G177)*100%</f>
        <v>3.5294117647058823E-2</v>
      </c>
      <c r="AK72" s="58">
        <f>SUM(L59*M59)/(Q99*H177)*100%</f>
        <v>4.0579710144927533E-2</v>
      </c>
      <c r="AL72" s="58">
        <f>SUM(N59*O59)/(Q99*I177)*100%</f>
        <v>2.2535211267605635E-2</v>
      </c>
      <c r="AM72" s="58">
        <f>SUM(P59*Q59)/(Q99*J177)*100%</f>
        <v>2.8571428571428571E-2</v>
      </c>
      <c r="AN72" s="58">
        <f>SUM(R59*S59)/(Q99*K177)*100%</f>
        <v>1.7647058823529412E-2</v>
      </c>
      <c r="AO72" s="58">
        <f>SUM(T59*U59)/(Q99*L177)*100%</f>
        <v>0</v>
      </c>
      <c r="AP72" s="58">
        <f>SUM(V59*W59)/(Q99*M177)*100%</f>
        <v>4.5454545454545456E-2</v>
      </c>
      <c r="AQ72" s="58">
        <f>SUM(X59*Y59)/(Q99*N177)*100%</f>
        <v>3.6923076923076927E-2</v>
      </c>
      <c r="AR72" s="58">
        <f>SUM(Z59*AA59)/(Q99*O177)*100%</f>
        <v>1.8749999999999999E-2</v>
      </c>
      <c r="AS72" s="58">
        <f t="shared" ref="AS72:AS79" si="17">SUM(AG72:AR72)</f>
        <v>0.29732805353940545</v>
      </c>
      <c r="AT72" s="58">
        <f t="shared" si="16"/>
        <v>2.4777337794950453E-2</v>
      </c>
    </row>
    <row r="73" spans="1:46" ht="15.5" x14ac:dyDescent="0.3">
      <c r="A73" s="71"/>
      <c r="B73" s="71"/>
      <c r="C73" s="6" t="s">
        <v>15</v>
      </c>
      <c r="D73" s="10">
        <v>4</v>
      </c>
      <c r="E73" s="9">
        <v>1</v>
      </c>
      <c r="F73" s="10">
        <v>3</v>
      </c>
      <c r="G73" s="9">
        <v>2</v>
      </c>
      <c r="H73" s="10">
        <v>5</v>
      </c>
      <c r="I73" s="9">
        <v>1</v>
      </c>
      <c r="J73" s="10">
        <v>4</v>
      </c>
      <c r="K73" s="9">
        <v>2</v>
      </c>
      <c r="L73" s="10">
        <v>6</v>
      </c>
      <c r="M73" s="9">
        <v>1</v>
      </c>
      <c r="N73" s="10">
        <v>5</v>
      </c>
      <c r="O73" s="9">
        <v>2</v>
      </c>
      <c r="P73" s="10">
        <v>4</v>
      </c>
      <c r="Q73" s="9">
        <v>2</v>
      </c>
      <c r="R73" s="10">
        <v>3</v>
      </c>
      <c r="S73" s="9">
        <v>2</v>
      </c>
      <c r="T73" s="10">
        <v>6</v>
      </c>
      <c r="U73" s="9">
        <v>2</v>
      </c>
      <c r="V73" s="10">
        <v>6</v>
      </c>
      <c r="W73" s="9">
        <v>2</v>
      </c>
      <c r="X73" s="10">
        <v>5</v>
      </c>
      <c r="Y73" s="9">
        <v>2</v>
      </c>
      <c r="Z73" s="10">
        <v>4</v>
      </c>
      <c r="AA73" s="9">
        <v>2</v>
      </c>
      <c r="AD73" s="71"/>
      <c r="AE73" s="71"/>
      <c r="AF73" s="1" t="s">
        <v>15</v>
      </c>
      <c r="AG73" s="58">
        <f>SUM(D60*E60)/(Q99*D178)*100%</f>
        <v>1.7391304347826087E-2</v>
      </c>
      <c r="AH73" s="58">
        <f>SUM(F60*G60)/(Q99*E178)*100%</f>
        <v>2.8169014084507043E-2</v>
      </c>
      <c r="AI73" s="58">
        <f>SUM(H60*I60)/(Q99*F178)*100%</f>
        <v>1.7647058823529412E-2</v>
      </c>
      <c r="AJ73" s="58">
        <f>SUM(J60*K60)/(Q99*G178)*100%</f>
        <v>3.5820895522388062E-2</v>
      </c>
      <c r="AK73" s="58">
        <f>SUM(L60*M60)/(Q99*H178)*100%</f>
        <v>2.318840579710145E-2</v>
      </c>
      <c r="AL73" s="58">
        <f>SUM(N60*O60)/(Q99*I178)*100%</f>
        <v>5.8333333333333334E-2</v>
      </c>
      <c r="AM73" s="58">
        <f>SUM(P60*Q60)/(Q99*J178)*100%</f>
        <v>0</v>
      </c>
      <c r="AN73" s="58">
        <f>SUM(R60*S60)/(Q99*K178)*100%</f>
        <v>3.5294117647058823E-2</v>
      </c>
      <c r="AO73" s="58">
        <f>SUM(T60*U60)/(Q99*L178)*100%</f>
        <v>3.6923076923076927E-2</v>
      </c>
      <c r="AP73" s="58">
        <f>SUM(V60*W60)/(Q99*M178)*100%</f>
        <v>3.0303030303030304E-2</v>
      </c>
      <c r="AQ73" s="58">
        <f>SUM(X60*Y60)/(Q99*N178)*100%</f>
        <v>1.7647058823529412E-2</v>
      </c>
      <c r="AR73" s="58">
        <f>SUM(Z60*AA60)/(Q99*O178)*100%</f>
        <v>1.1594202898550725E-2</v>
      </c>
      <c r="AS73" s="58">
        <f t="shared" si="17"/>
        <v>0.31231149850393164</v>
      </c>
      <c r="AT73" s="58">
        <f t="shared" si="16"/>
        <v>2.6025958208660969E-2</v>
      </c>
    </row>
    <row r="74" spans="1:46" ht="15.5" x14ac:dyDescent="0.3">
      <c r="A74" s="71"/>
      <c r="B74" s="71"/>
      <c r="C74" s="6" t="s">
        <v>16</v>
      </c>
      <c r="D74" s="11">
        <v>5</v>
      </c>
      <c r="E74" s="9">
        <v>2</v>
      </c>
      <c r="F74" s="11">
        <v>6</v>
      </c>
      <c r="G74" s="9">
        <v>2</v>
      </c>
      <c r="H74" s="11">
        <v>6</v>
      </c>
      <c r="I74" s="9">
        <v>2</v>
      </c>
      <c r="J74" s="11">
        <v>7</v>
      </c>
      <c r="K74" s="9">
        <v>1</v>
      </c>
      <c r="L74" s="11">
        <v>5</v>
      </c>
      <c r="M74" s="9">
        <v>2</v>
      </c>
      <c r="N74" s="11">
        <v>7</v>
      </c>
      <c r="O74" s="9">
        <v>1</v>
      </c>
      <c r="P74" s="11">
        <v>6</v>
      </c>
      <c r="Q74" s="9">
        <v>3</v>
      </c>
      <c r="R74" s="11">
        <v>7</v>
      </c>
      <c r="S74" s="9">
        <v>2</v>
      </c>
      <c r="T74" s="11">
        <v>8</v>
      </c>
      <c r="U74" s="9">
        <v>1</v>
      </c>
      <c r="V74" s="11">
        <v>7</v>
      </c>
      <c r="W74" s="9">
        <v>1</v>
      </c>
      <c r="X74" s="11">
        <v>8</v>
      </c>
      <c r="Y74" s="9">
        <v>3</v>
      </c>
      <c r="Z74" s="11">
        <v>8</v>
      </c>
      <c r="AA74" s="9">
        <v>2</v>
      </c>
      <c r="AD74" s="71"/>
      <c r="AE74" s="71"/>
      <c r="AF74" s="1" t="s">
        <v>16</v>
      </c>
      <c r="AG74" s="58">
        <f>SUM(D61*E61)/(Q99*D179)*100%</f>
        <v>4.2857142857142858E-2</v>
      </c>
      <c r="AH74" s="58">
        <f>SUM(F61*G61)/(Q99*E179)*100%</f>
        <v>5.6250000000000001E-2</v>
      </c>
      <c r="AI74" s="58">
        <f>SUM(H61*I61)/(Q99*F179)*100%</f>
        <v>5.0847457627118647E-2</v>
      </c>
      <c r="AJ74" s="58">
        <f>SUM(J61*K61)/(Q99*G179)*100%</f>
        <v>6.1764705882352944E-2</v>
      </c>
      <c r="AK74" s="58">
        <f>SUM(L61*M61)/(Q99*H179)*100%</f>
        <v>3.4285714285714287E-2</v>
      </c>
      <c r="AL74" s="58">
        <f>SUM(N61*O61)/(Q99*I179)*100%</f>
        <v>0.08</v>
      </c>
      <c r="AM74" s="58">
        <f>SUM(P61*Q61)/(Q99*J179)*100%</f>
        <v>6.0869565217391307E-2</v>
      </c>
      <c r="AN74" s="58">
        <f>SUM(R61*S61)/(Q99*K179)*100%</f>
        <v>6.575342465753424E-2</v>
      </c>
      <c r="AO74" s="58">
        <f>SUM(T61*U61)/(Q99*L179)*100%</f>
        <v>8.727272727272728E-2</v>
      </c>
      <c r="AP74" s="58">
        <f>SUM(V61*W61)/(Q99*M179)*100%</f>
        <v>7.9245283018867921E-2</v>
      </c>
      <c r="AQ74" s="58">
        <f>SUM(X61*Y61)/(Q99*N179)*100%</f>
        <v>5.7534246575342465E-2</v>
      </c>
      <c r="AR74" s="58">
        <f>SUM(Z61*AA61)/(Q99*O179)*100%</f>
        <v>4.2105263157894736E-2</v>
      </c>
      <c r="AS74" s="58">
        <f t="shared" si="17"/>
        <v>0.71878553055208672</v>
      </c>
      <c r="AT74" s="58">
        <f t="shared" si="16"/>
        <v>5.9898794212673891E-2</v>
      </c>
    </row>
    <row r="75" spans="1:46" ht="15.5" x14ac:dyDescent="0.3">
      <c r="A75" s="71"/>
      <c r="B75" s="71"/>
      <c r="C75" s="6" t="s">
        <v>17</v>
      </c>
      <c r="D75" s="11">
        <v>4</v>
      </c>
      <c r="E75" s="9">
        <v>2</v>
      </c>
      <c r="F75" s="11">
        <v>5</v>
      </c>
      <c r="G75" s="9">
        <v>1</v>
      </c>
      <c r="H75" s="11">
        <v>6</v>
      </c>
      <c r="I75" s="9">
        <v>2</v>
      </c>
      <c r="J75" s="11">
        <v>7</v>
      </c>
      <c r="K75" s="9">
        <v>2</v>
      </c>
      <c r="L75" s="11">
        <v>5</v>
      </c>
      <c r="M75" s="9">
        <v>2</v>
      </c>
      <c r="N75" s="11">
        <v>6</v>
      </c>
      <c r="O75" s="9">
        <v>2</v>
      </c>
      <c r="P75" s="11">
        <v>5</v>
      </c>
      <c r="Q75" s="9">
        <v>2</v>
      </c>
      <c r="R75" s="11">
        <v>8</v>
      </c>
      <c r="S75" s="9">
        <v>1</v>
      </c>
      <c r="T75" s="11">
        <v>7</v>
      </c>
      <c r="U75" s="9">
        <v>2</v>
      </c>
      <c r="V75" s="11">
        <v>8</v>
      </c>
      <c r="W75" s="9">
        <v>2</v>
      </c>
      <c r="X75" s="11">
        <v>8</v>
      </c>
      <c r="Y75" s="9">
        <v>3</v>
      </c>
      <c r="Z75" s="11">
        <v>9</v>
      </c>
      <c r="AA75" s="9">
        <v>3</v>
      </c>
      <c r="AD75" s="71"/>
      <c r="AE75" s="71"/>
      <c r="AF75" s="1" t="s">
        <v>17</v>
      </c>
      <c r="AG75" s="58">
        <f>SUM(D62*E62)/(Q99*D180)*100%</f>
        <v>2.5000000000000001E-2</v>
      </c>
      <c r="AH75" s="58">
        <f>SUM(F62*G62)/(Q99*E180)*100%</f>
        <v>4.6666666666666669E-2</v>
      </c>
      <c r="AI75" s="58">
        <f>SUM(H62*I62)/(Q99*F180)*100%</f>
        <v>6.8852459016393447E-2</v>
      </c>
      <c r="AJ75" s="58">
        <f>SUM(J62*K62)/(Q99*G180)*100%</f>
        <v>4.4444444444444446E-2</v>
      </c>
      <c r="AK75" s="58">
        <f>SUM(L62*M62)/(Q99*H180)*100%</f>
        <v>2.0338983050847456E-2</v>
      </c>
      <c r="AL75" s="58">
        <f>SUM(N62*O62)/(Q99*I180)*100%</f>
        <v>5.4545454545454543E-2</v>
      </c>
      <c r="AM75" s="58">
        <f>SUM(P62*Q62)/(Q99*J180)*100%</f>
        <v>2.318840579710145E-2</v>
      </c>
      <c r="AN75" s="58">
        <f>SUM(R62*S62)/(Q99*K180)*100%</f>
        <v>7.0000000000000007E-2</v>
      </c>
      <c r="AO75" s="58">
        <f>SUM(T62*U62)/(Q99*L180)*100%</f>
        <v>7.0588235294117646E-2</v>
      </c>
      <c r="AP75" s="58">
        <f>SUM(V62*W62)/(Q99*M180)*100%</f>
        <v>0.1</v>
      </c>
      <c r="AQ75" s="58">
        <f>SUM(X62*Y62)/(Q99*N180)*100%</f>
        <v>5.6000000000000001E-2</v>
      </c>
      <c r="AR75" s="58">
        <f>SUM(Z62*AA62)/(Q99*O180)*100%</f>
        <v>4.7761194029850747E-2</v>
      </c>
      <c r="AS75" s="58">
        <f t="shared" si="17"/>
        <v>0.62738584284487653</v>
      </c>
      <c r="AT75" s="58">
        <f t="shared" si="16"/>
        <v>5.228215357040638E-2</v>
      </c>
    </row>
    <row r="76" spans="1:46" ht="15.5" x14ac:dyDescent="0.3">
      <c r="A76" s="71"/>
      <c r="B76" s="71"/>
      <c r="C76" s="6" t="s">
        <v>18</v>
      </c>
      <c r="D76" s="11">
        <v>8</v>
      </c>
      <c r="E76" s="9">
        <v>3</v>
      </c>
      <c r="F76" s="11">
        <v>6</v>
      </c>
      <c r="G76" s="9">
        <v>2</v>
      </c>
      <c r="H76" s="11">
        <v>4</v>
      </c>
      <c r="I76" s="9">
        <v>1</v>
      </c>
      <c r="J76" s="11">
        <v>6</v>
      </c>
      <c r="K76" s="9">
        <v>1</v>
      </c>
      <c r="L76" s="11">
        <v>6</v>
      </c>
      <c r="M76" s="9">
        <v>2</v>
      </c>
      <c r="N76" s="11">
        <v>8</v>
      </c>
      <c r="O76" s="9">
        <v>1</v>
      </c>
      <c r="P76" s="11">
        <v>7</v>
      </c>
      <c r="Q76" s="9">
        <v>2</v>
      </c>
      <c r="R76" s="11">
        <v>6</v>
      </c>
      <c r="S76" s="9">
        <v>2</v>
      </c>
      <c r="T76" s="11">
        <v>7</v>
      </c>
      <c r="U76" s="9">
        <v>2</v>
      </c>
      <c r="V76" s="11">
        <v>5</v>
      </c>
      <c r="W76" s="9">
        <v>1</v>
      </c>
      <c r="X76" s="11">
        <v>7</v>
      </c>
      <c r="Y76" s="9">
        <v>2</v>
      </c>
      <c r="Z76" s="11">
        <v>6</v>
      </c>
      <c r="AA76" s="9">
        <v>2</v>
      </c>
      <c r="AD76" s="71"/>
      <c r="AE76" s="71"/>
      <c r="AF76" s="1" t="s">
        <v>18</v>
      </c>
      <c r="AG76" s="58">
        <f>SUM(D63*E63)/(Q99*D181)*100%</f>
        <v>5.4237288135593219E-2</v>
      </c>
      <c r="AH76" s="58">
        <f>SUM(F63*G63)/(Q99*E181)*100%</f>
        <v>4.363636363636364E-2</v>
      </c>
      <c r="AI76" s="58">
        <f>SUM(H63*I63)/(Q99*F181)*100%</f>
        <v>4.4444444444444446E-2</v>
      </c>
      <c r="AJ76" s="58">
        <f>SUM(J63*K63)/(Q99*G181)*100%</f>
        <v>5.0909090909090911E-2</v>
      </c>
      <c r="AK76" s="58">
        <f>SUM(L63*M63)/(Q99*H181)*100%</f>
        <v>2.3809523809523808E-2</v>
      </c>
      <c r="AL76" s="58">
        <f>SUM(N63*O63)/(Q99*I181)*100%</f>
        <v>5.9016393442622953E-2</v>
      </c>
      <c r="AM76" s="58">
        <f>SUM(P63*Q63)/(Q99*J181)*100%</f>
        <v>5.3333333333333337E-2</v>
      </c>
      <c r="AN76" s="58">
        <f>SUM(R63*S63)/(Q99*K181)*100%</f>
        <v>3.2258064516129031E-2</v>
      </c>
      <c r="AO76" s="58">
        <f>SUM(T63*U63)/(Q99*L181)*100%</f>
        <v>6.9565217391304349E-2</v>
      </c>
      <c r="AP76" s="58">
        <f>SUM(V63*W63)/(Q99*M181)*100%</f>
        <v>4.8000000000000001E-2</v>
      </c>
      <c r="AQ76" s="58">
        <f>SUM(X63*Y63)/(Q99*N181)*100%</f>
        <v>0.10188679245283019</v>
      </c>
      <c r="AR76" s="58">
        <f>SUM(Z63*AA63)/(Q99*O181)*100%</f>
        <v>5.185185185185185E-2</v>
      </c>
      <c r="AS76" s="58">
        <f t="shared" si="17"/>
        <v>0.63294836392308762</v>
      </c>
      <c r="AT76" s="58">
        <f t="shared" si="16"/>
        <v>5.2745696993590635E-2</v>
      </c>
    </row>
    <row r="77" spans="1:46" ht="15.5" x14ac:dyDescent="0.3">
      <c r="A77" s="71"/>
      <c r="B77" s="71"/>
      <c r="C77" s="6" t="s">
        <v>19</v>
      </c>
      <c r="D77" s="10">
        <v>2</v>
      </c>
      <c r="E77" s="9">
        <v>2</v>
      </c>
      <c r="F77" s="10">
        <v>2</v>
      </c>
      <c r="G77" s="9">
        <v>2</v>
      </c>
      <c r="H77" s="10">
        <v>3</v>
      </c>
      <c r="I77" s="9">
        <v>2</v>
      </c>
      <c r="J77" s="10">
        <v>2</v>
      </c>
      <c r="K77" s="9">
        <v>2</v>
      </c>
      <c r="L77" s="10">
        <v>1</v>
      </c>
      <c r="M77" s="9">
        <v>2</v>
      </c>
      <c r="N77" s="10">
        <v>3</v>
      </c>
      <c r="O77" s="9">
        <v>2</v>
      </c>
      <c r="P77" s="10">
        <v>2</v>
      </c>
      <c r="Q77" s="9">
        <v>3</v>
      </c>
      <c r="R77" s="10">
        <v>1</v>
      </c>
      <c r="S77" s="9">
        <v>1</v>
      </c>
      <c r="T77" s="10">
        <v>3</v>
      </c>
      <c r="U77" s="9">
        <v>2</v>
      </c>
      <c r="V77" s="10">
        <v>2</v>
      </c>
      <c r="W77" s="9">
        <v>2</v>
      </c>
      <c r="X77" s="10">
        <v>1</v>
      </c>
      <c r="Y77" s="9">
        <v>3</v>
      </c>
      <c r="Z77" s="10">
        <v>2</v>
      </c>
      <c r="AA77" s="9">
        <v>2</v>
      </c>
      <c r="AD77" s="71"/>
      <c r="AE77" s="71"/>
      <c r="AF77" s="1" t="s">
        <v>19</v>
      </c>
      <c r="AG77" s="58">
        <f>SUM(D64*E64)/(Q99*D182)*100%</f>
        <v>1.411764705882353E-2</v>
      </c>
      <c r="AH77" s="58">
        <f>SUM(F64*G64)/(Q99*E182)*100%</f>
        <v>1.4999999999999999E-2</v>
      </c>
      <c r="AI77" s="58">
        <f>SUM(H64*I64)/(Q99*F182)*100%</f>
        <v>1.7391304347826087E-2</v>
      </c>
      <c r="AJ77" s="58">
        <f>SUM(J64*K64)/(Q99*G182)*100%</f>
        <v>9.3023255813953487E-3</v>
      </c>
      <c r="AK77" s="58">
        <f>SUM(L64*M64)/(Q99*H182)*100%</f>
        <v>0</v>
      </c>
      <c r="AL77" s="58">
        <f>SUM(N64*O64)/(Q99*I182)*100%</f>
        <v>1.3953488372093023E-2</v>
      </c>
      <c r="AM77" s="58">
        <f>SUM(P64*Q64)/(Q99*J182)*100%</f>
        <v>1.8823529411764704E-2</v>
      </c>
      <c r="AN77" s="58">
        <f>SUM(R64*S64)/(Q99*K182)*100%</f>
        <v>8.3333333333333332E-3</v>
      </c>
      <c r="AO77" s="58">
        <f>SUM(T64*U64)/(Q99*L182)*100%</f>
        <v>1.5384615384615385E-2</v>
      </c>
      <c r="AP77" s="58">
        <f>SUM(V64*W64)/(Q99*M182)*100%</f>
        <v>2.2222222222222223E-2</v>
      </c>
      <c r="AQ77" s="58">
        <f>SUM(X64*Y64)/(Q99*N182)*100%</f>
        <v>9.4117647058823521E-3</v>
      </c>
      <c r="AR77" s="58">
        <f>SUM(Z64*AA64)/(Q99*O182)*100%</f>
        <v>0</v>
      </c>
      <c r="AS77" s="58">
        <f t="shared" si="17"/>
        <v>0.14394023041795598</v>
      </c>
      <c r="AT77" s="58">
        <f t="shared" si="16"/>
        <v>1.1995019201496331E-2</v>
      </c>
    </row>
    <row r="78" spans="1:46" ht="15.5" x14ac:dyDescent="0.3">
      <c r="A78" s="71"/>
      <c r="B78" s="71"/>
      <c r="C78" s="6" t="s">
        <v>20</v>
      </c>
      <c r="D78" s="10">
        <v>2</v>
      </c>
      <c r="E78" s="9">
        <v>2</v>
      </c>
      <c r="F78" s="10">
        <v>1</v>
      </c>
      <c r="G78" s="9">
        <v>1</v>
      </c>
      <c r="H78" s="10">
        <v>3</v>
      </c>
      <c r="I78" s="9">
        <v>2</v>
      </c>
      <c r="J78" s="10">
        <v>1</v>
      </c>
      <c r="K78" s="9">
        <v>2</v>
      </c>
      <c r="L78" s="10">
        <v>2</v>
      </c>
      <c r="M78" s="9">
        <v>2</v>
      </c>
      <c r="N78" s="10">
        <v>1</v>
      </c>
      <c r="O78" s="9">
        <v>2</v>
      </c>
      <c r="P78" s="10">
        <v>3</v>
      </c>
      <c r="Q78" s="9">
        <v>2</v>
      </c>
      <c r="R78" s="10">
        <v>2</v>
      </c>
      <c r="S78" s="9">
        <v>1</v>
      </c>
      <c r="T78" s="10">
        <v>2</v>
      </c>
      <c r="U78" s="9">
        <v>2</v>
      </c>
      <c r="V78" s="10">
        <v>1</v>
      </c>
      <c r="W78" s="9">
        <v>2</v>
      </c>
      <c r="X78" s="10">
        <v>2</v>
      </c>
      <c r="Y78" s="9">
        <v>2</v>
      </c>
      <c r="Z78" s="10">
        <v>1</v>
      </c>
      <c r="AA78" s="9">
        <v>1</v>
      </c>
      <c r="AD78" s="71"/>
      <c r="AE78" s="71"/>
      <c r="AF78" s="1" t="s">
        <v>20</v>
      </c>
      <c r="AG78" s="58">
        <f>SUM(D65*E65)/(Q99*D183)*100%</f>
        <v>0</v>
      </c>
      <c r="AH78" s="58">
        <f>SUM(F65*G65)/(Q99*E183)*100%</f>
        <v>0</v>
      </c>
      <c r="AI78" s="58">
        <f>SUM(H65*I65)/(Q99*F183)*100%</f>
        <v>1.7204301075268817E-2</v>
      </c>
      <c r="AJ78" s="58">
        <f>SUM(J65*K65)/(Q99*G183)*100%</f>
        <v>0</v>
      </c>
      <c r="AK78" s="58">
        <f>SUM(L65*M65)/(Q99*H183)*100%</f>
        <v>0</v>
      </c>
      <c r="AL78" s="58">
        <f>SUM(N65*O65)/(Q99*I183)*100%</f>
        <v>0</v>
      </c>
      <c r="AM78" s="58">
        <f>SUM(P65*Q65)/(Q99*J183)*100%</f>
        <v>0</v>
      </c>
      <c r="AN78" s="58">
        <f>SUM(R65*S65)/(Q99*K183)*100%</f>
        <v>0</v>
      </c>
      <c r="AO78" s="58">
        <f>SUM(T65*U65)/(Q99*L183)*100%</f>
        <v>2.3529411764705882E-2</v>
      </c>
      <c r="AP78" s="58">
        <f>SUM(V65*W65)/(Q99*M183)*100%</f>
        <v>3.2432432432432434E-2</v>
      </c>
      <c r="AQ78" s="58">
        <f>SUM(X65*Y65)/(Q99*N183)*100%</f>
        <v>1.6513761467889909E-2</v>
      </c>
      <c r="AR78" s="58">
        <f>SUM(Z65*AA65)/(Q99*O183)*100%</f>
        <v>1.1764705882352941E-2</v>
      </c>
      <c r="AS78" s="58">
        <f t="shared" si="17"/>
        <v>0.10144461262264999</v>
      </c>
      <c r="AT78" s="58">
        <f t="shared" si="16"/>
        <v>8.4537177185541653E-3</v>
      </c>
    </row>
    <row r="79" spans="1:46" ht="15.5" x14ac:dyDescent="0.3">
      <c r="A79" s="72"/>
      <c r="B79" s="72"/>
      <c r="C79" s="6" t="s">
        <v>21</v>
      </c>
      <c r="D79" s="10">
        <v>2</v>
      </c>
      <c r="E79" s="9">
        <v>1</v>
      </c>
      <c r="F79" s="10">
        <v>3</v>
      </c>
      <c r="G79" s="9">
        <v>2</v>
      </c>
      <c r="H79" s="10">
        <v>1</v>
      </c>
      <c r="I79" s="9">
        <v>2</v>
      </c>
      <c r="J79" s="10">
        <v>1</v>
      </c>
      <c r="K79" s="9">
        <v>1</v>
      </c>
      <c r="L79" s="10">
        <v>1</v>
      </c>
      <c r="M79" s="9">
        <v>1</v>
      </c>
      <c r="N79" s="10">
        <v>2</v>
      </c>
      <c r="O79" s="9">
        <v>2</v>
      </c>
      <c r="P79" s="10">
        <v>2</v>
      </c>
      <c r="Q79" s="9">
        <v>2</v>
      </c>
      <c r="R79" s="10">
        <v>2</v>
      </c>
      <c r="S79" s="9">
        <v>2</v>
      </c>
      <c r="T79" s="10">
        <v>0</v>
      </c>
      <c r="U79" s="9">
        <v>0</v>
      </c>
      <c r="V79" s="10">
        <v>1</v>
      </c>
      <c r="W79" s="9">
        <v>2</v>
      </c>
      <c r="X79" s="10">
        <v>1</v>
      </c>
      <c r="Y79" s="9">
        <v>2</v>
      </c>
      <c r="Z79" s="10">
        <v>0</v>
      </c>
      <c r="AA79" s="9">
        <v>0</v>
      </c>
      <c r="AD79" s="71"/>
      <c r="AE79" s="71"/>
      <c r="AF79" s="1" t="s">
        <v>21</v>
      </c>
      <c r="AG79" s="58">
        <f>SUM(D66*E66)/(Q99*D184)*100%</f>
        <v>2.3880597014925373E-2</v>
      </c>
      <c r="AH79" s="58">
        <f>SUM(F66*G66)/(Q99*E184)*100%</f>
        <v>9.6385542168674707E-3</v>
      </c>
      <c r="AI79" s="58">
        <f>SUM(H65*I65)/(Q99*F183)*100%</f>
        <v>1.7204301075268817E-2</v>
      </c>
      <c r="AJ79" s="58">
        <f>SUM(J66*K66)/(Q99*G184)*100%</f>
        <v>0</v>
      </c>
      <c r="AK79" s="58">
        <f>SUM(L66*M66)/(Q99*H184)*100%</f>
        <v>1.1428571428571429E-2</v>
      </c>
      <c r="AL79" s="58">
        <f>SUM(N66*O66)/(Q99*I184)*100%</f>
        <v>1.9047619047619049E-2</v>
      </c>
      <c r="AM79" s="58">
        <f>SUM(P66*Q66)/(Q99*J184)*100%</f>
        <v>0</v>
      </c>
      <c r="AN79" s="58">
        <f>SUM(R66*S66)/(Q99*K184)*100%</f>
        <v>0</v>
      </c>
      <c r="AO79" s="58">
        <f>SUM(T66*U66)/(Q99*L184)*100%</f>
        <v>0</v>
      </c>
      <c r="AP79" s="58">
        <f>SUM(V66*W66)/(Q99*M184)*100%</f>
        <v>0</v>
      </c>
      <c r="AQ79" s="58">
        <f>SUM(X66*Y66)/(Q99*N184)*100%</f>
        <v>0</v>
      </c>
      <c r="AR79" s="58">
        <f>SUM(Z66*AA66)/(Q99*O184)*100%</f>
        <v>0</v>
      </c>
      <c r="AS79" s="58">
        <f t="shared" si="17"/>
        <v>8.1199642783252146E-2</v>
      </c>
      <c r="AT79" s="58">
        <f t="shared" si="16"/>
        <v>6.7666368986043458E-3</v>
      </c>
    </row>
    <row r="80" spans="1:46" ht="15.5" x14ac:dyDescent="0.3">
      <c r="A80" s="53"/>
      <c r="B80" s="53"/>
      <c r="C80" s="60"/>
      <c r="D80" s="60"/>
      <c r="E80" s="60"/>
      <c r="F80" s="60"/>
      <c r="G80" s="14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D80" s="71"/>
      <c r="AE80" s="71"/>
      <c r="AF80" s="1" t="s">
        <v>48</v>
      </c>
      <c r="AG80" s="58">
        <f>SUM(AG71:AG79)</f>
        <v>0.21748397941431108</v>
      </c>
      <c r="AH80" s="58">
        <f t="shared" ref="AH80:AR80" si="18">SUM(AH71:AH79)</f>
        <v>0.2050748843186905</v>
      </c>
      <c r="AI80" s="58">
        <f t="shared" si="18"/>
        <v>0.2574719234247751</v>
      </c>
      <c r="AJ80" s="58">
        <f t="shared" si="18"/>
        <v>0.24741212319660708</v>
      </c>
      <c r="AK80" s="58">
        <f t="shared" si="18"/>
        <v>0.18029757518335265</v>
      </c>
      <c r="AL80" s="58">
        <f t="shared" si="18"/>
        <v>0.31824231081953935</v>
      </c>
      <c r="AM80" s="58">
        <f t="shared" si="18"/>
        <v>0.1997862623310194</v>
      </c>
      <c r="AN80" s="58">
        <f t="shared" si="18"/>
        <v>0.23476545103237936</v>
      </c>
      <c r="AO80" s="58">
        <f t="shared" si="18"/>
        <v>0.30326328403054748</v>
      </c>
      <c r="AP80" s="58">
        <f t="shared" si="18"/>
        <v>0.37480037057395543</v>
      </c>
      <c r="AQ80" s="58">
        <f t="shared" si="18"/>
        <v>0.30188685020228262</v>
      </c>
      <c r="AR80" s="58">
        <f t="shared" si="18"/>
        <v>0.19421682821011138</v>
      </c>
      <c r="AS80" s="58">
        <f>SUM(AS71:AS79)</f>
        <v>3.0347018427375714</v>
      </c>
      <c r="AT80" s="58"/>
    </row>
    <row r="81" spans="1:46" ht="15.5" x14ac:dyDescent="0.3">
      <c r="A81" s="3" t="s">
        <v>0</v>
      </c>
      <c r="B81" s="3" t="s">
        <v>1</v>
      </c>
      <c r="C81" s="73" t="s">
        <v>2</v>
      </c>
      <c r="D81" s="75" t="s">
        <v>3</v>
      </c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D81" s="72"/>
      <c r="AE81" s="72"/>
      <c r="AF81" s="1" t="s">
        <v>47</v>
      </c>
      <c r="AG81" s="58">
        <f t="shared" ref="AG81:AR81" si="19">AVERAGE(AG71:AG79)</f>
        <v>2.4164886601590121E-2</v>
      </c>
      <c r="AH81" s="58">
        <f t="shared" si="19"/>
        <v>2.2786098257632278E-2</v>
      </c>
      <c r="AI81" s="58">
        <f t="shared" si="19"/>
        <v>2.8607991491641678E-2</v>
      </c>
      <c r="AJ81" s="58">
        <f t="shared" si="19"/>
        <v>2.7490235910734118E-2</v>
      </c>
      <c r="AK81" s="58">
        <f t="shared" si="19"/>
        <v>2.0033063909261406E-2</v>
      </c>
      <c r="AL81" s="58">
        <f t="shared" si="19"/>
        <v>3.5360256757726596E-2</v>
      </c>
      <c r="AM81" s="58">
        <f t="shared" si="19"/>
        <v>2.219847359233549E-2</v>
      </c>
      <c r="AN81" s="58">
        <f t="shared" si="19"/>
        <v>2.6085050114708817E-2</v>
      </c>
      <c r="AO81" s="58">
        <f t="shared" si="19"/>
        <v>3.3695920447838611E-2</v>
      </c>
      <c r="AP81" s="58">
        <f t="shared" si="19"/>
        <v>4.1644485619328382E-2</v>
      </c>
      <c r="AQ81" s="58">
        <f t="shared" si="19"/>
        <v>3.3542983355809179E-2</v>
      </c>
      <c r="AR81" s="58">
        <f t="shared" si="19"/>
        <v>2.1579647578901264E-2</v>
      </c>
      <c r="AS81" s="58"/>
      <c r="AT81" s="58"/>
    </row>
    <row r="82" spans="1:46" ht="15.5" x14ac:dyDescent="0.3">
      <c r="A82" s="70">
        <v>7</v>
      </c>
      <c r="B82" s="70" t="s">
        <v>28</v>
      </c>
      <c r="C82" s="73"/>
      <c r="D82" s="75" t="s">
        <v>4</v>
      </c>
      <c r="E82" s="75"/>
      <c r="F82" s="75"/>
      <c r="G82" s="75"/>
      <c r="H82" s="75"/>
      <c r="I82" s="75"/>
      <c r="J82" s="75"/>
      <c r="K82" s="75"/>
      <c r="L82" s="75" t="s">
        <v>11</v>
      </c>
      <c r="M82" s="75"/>
      <c r="N82" s="75"/>
      <c r="O82" s="75"/>
      <c r="P82" s="75"/>
      <c r="Q82" s="75"/>
      <c r="R82" s="75"/>
      <c r="S82" s="75"/>
      <c r="T82" s="75" t="s">
        <v>12</v>
      </c>
      <c r="U82" s="75"/>
      <c r="V82" s="75"/>
      <c r="W82" s="75"/>
      <c r="X82" s="75"/>
      <c r="Y82" s="75"/>
      <c r="Z82" s="75"/>
      <c r="AA82" s="75"/>
      <c r="AD82" s="61"/>
      <c r="AE82" s="61"/>
      <c r="AF82" s="15"/>
    </row>
    <row r="83" spans="1:46" ht="15.5" x14ac:dyDescent="0.3">
      <c r="A83" s="71"/>
      <c r="B83" s="71"/>
      <c r="C83" s="73"/>
      <c r="D83" s="3" t="s">
        <v>5</v>
      </c>
      <c r="E83" s="3" t="s">
        <v>6</v>
      </c>
      <c r="F83" s="3" t="s">
        <v>7</v>
      </c>
      <c r="G83" s="3" t="s">
        <v>6</v>
      </c>
      <c r="H83" s="3" t="s">
        <v>8</v>
      </c>
      <c r="I83" s="3" t="s">
        <v>9</v>
      </c>
      <c r="J83" s="3" t="s">
        <v>10</v>
      </c>
      <c r="K83" s="3" t="s">
        <v>6</v>
      </c>
      <c r="L83" s="3" t="s">
        <v>5</v>
      </c>
      <c r="M83" s="3" t="s">
        <v>6</v>
      </c>
      <c r="N83" s="3" t="s">
        <v>7</v>
      </c>
      <c r="O83" s="3" t="s">
        <v>6</v>
      </c>
      <c r="P83" s="3" t="s">
        <v>8</v>
      </c>
      <c r="Q83" s="3" t="s">
        <v>9</v>
      </c>
      <c r="R83" s="3" t="s">
        <v>10</v>
      </c>
      <c r="S83" s="3" t="s">
        <v>6</v>
      </c>
      <c r="T83" s="3" t="s">
        <v>5</v>
      </c>
      <c r="U83" s="3" t="s">
        <v>6</v>
      </c>
      <c r="V83" s="3" t="s">
        <v>7</v>
      </c>
      <c r="W83" s="3" t="s">
        <v>6</v>
      </c>
      <c r="X83" s="3" t="s">
        <v>8</v>
      </c>
      <c r="Y83" s="3" t="s">
        <v>9</v>
      </c>
      <c r="Z83" s="3" t="s">
        <v>10</v>
      </c>
      <c r="AA83" s="3" t="s">
        <v>6</v>
      </c>
      <c r="AD83" s="61"/>
      <c r="AE83" s="61"/>
      <c r="AF83" s="15"/>
    </row>
    <row r="84" spans="1:46" ht="15.5" x14ac:dyDescent="0.3">
      <c r="A84" s="71"/>
      <c r="B84" s="71"/>
      <c r="C84" s="1" t="s">
        <v>13</v>
      </c>
      <c r="D84" s="4">
        <v>2</v>
      </c>
      <c r="E84" s="3">
        <v>2</v>
      </c>
      <c r="F84" s="4">
        <v>2</v>
      </c>
      <c r="G84" s="3">
        <v>1</v>
      </c>
      <c r="H84" s="4">
        <v>2</v>
      </c>
      <c r="I84" s="3">
        <v>1</v>
      </c>
      <c r="J84" s="4">
        <v>2</v>
      </c>
      <c r="K84" s="3">
        <v>1</v>
      </c>
      <c r="L84" s="4">
        <v>2</v>
      </c>
      <c r="M84" s="3">
        <v>1</v>
      </c>
      <c r="N84" s="4">
        <v>1</v>
      </c>
      <c r="O84" s="3">
        <v>2</v>
      </c>
      <c r="P84" s="4">
        <v>3</v>
      </c>
      <c r="Q84" s="3">
        <v>2</v>
      </c>
      <c r="R84" s="4">
        <v>1</v>
      </c>
      <c r="S84" s="3">
        <v>2</v>
      </c>
      <c r="T84" s="4">
        <v>2</v>
      </c>
      <c r="U84" s="3">
        <v>1</v>
      </c>
      <c r="V84" s="4">
        <v>1</v>
      </c>
      <c r="W84" s="3">
        <v>1</v>
      </c>
      <c r="X84" s="4">
        <v>0</v>
      </c>
      <c r="Y84" s="3">
        <v>0</v>
      </c>
      <c r="Z84" s="4">
        <v>1</v>
      </c>
      <c r="AA84" s="3">
        <v>1</v>
      </c>
      <c r="AD84" s="3" t="s">
        <v>29</v>
      </c>
      <c r="AE84" s="3" t="s">
        <v>1</v>
      </c>
      <c r="AF84" s="73" t="s">
        <v>2</v>
      </c>
      <c r="AG84" s="75" t="s">
        <v>3</v>
      </c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29"/>
      <c r="AT84" s="70" t="s">
        <v>47</v>
      </c>
    </row>
    <row r="85" spans="1:46" ht="15.5" x14ac:dyDescent="0.3">
      <c r="A85" s="71"/>
      <c r="B85" s="71"/>
      <c r="C85" s="1" t="s">
        <v>14</v>
      </c>
      <c r="D85" s="4">
        <v>3</v>
      </c>
      <c r="E85" s="3">
        <v>2</v>
      </c>
      <c r="F85" s="4">
        <v>3</v>
      </c>
      <c r="G85" s="3">
        <v>2</v>
      </c>
      <c r="H85" s="4">
        <v>4</v>
      </c>
      <c r="I85" s="3">
        <v>2</v>
      </c>
      <c r="J85" s="4">
        <v>2</v>
      </c>
      <c r="K85" s="3">
        <v>1</v>
      </c>
      <c r="L85" s="4">
        <v>4</v>
      </c>
      <c r="M85" s="3">
        <v>2</v>
      </c>
      <c r="N85" s="4">
        <v>5</v>
      </c>
      <c r="O85" s="3">
        <v>1</v>
      </c>
      <c r="P85" s="4">
        <v>2</v>
      </c>
      <c r="Q85" s="3">
        <v>2</v>
      </c>
      <c r="R85" s="4">
        <v>3</v>
      </c>
      <c r="S85" s="3">
        <v>1</v>
      </c>
      <c r="T85" s="4">
        <v>5</v>
      </c>
      <c r="U85" s="3">
        <v>2</v>
      </c>
      <c r="V85" s="4">
        <v>4</v>
      </c>
      <c r="W85" s="3">
        <v>1</v>
      </c>
      <c r="X85" s="4">
        <v>3</v>
      </c>
      <c r="Y85" s="3">
        <v>2</v>
      </c>
      <c r="Z85" s="4">
        <v>4</v>
      </c>
      <c r="AA85" s="3">
        <v>1</v>
      </c>
      <c r="AD85" s="70">
        <v>6</v>
      </c>
      <c r="AE85" s="70" t="s">
        <v>27</v>
      </c>
      <c r="AF85" s="73"/>
      <c r="AG85" s="75" t="s">
        <v>4</v>
      </c>
      <c r="AH85" s="75"/>
      <c r="AI85" s="75"/>
      <c r="AJ85" s="75"/>
      <c r="AK85" s="75" t="s">
        <v>11</v>
      </c>
      <c r="AL85" s="75"/>
      <c r="AM85" s="75"/>
      <c r="AN85" s="75"/>
      <c r="AO85" s="75" t="s">
        <v>12</v>
      </c>
      <c r="AP85" s="75"/>
      <c r="AQ85" s="75"/>
      <c r="AR85" s="75"/>
      <c r="AS85" s="30" t="s">
        <v>48</v>
      </c>
      <c r="AT85" s="71"/>
    </row>
    <row r="86" spans="1:46" ht="15.5" x14ac:dyDescent="0.3">
      <c r="A86" s="71"/>
      <c r="B86" s="71"/>
      <c r="C86" s="1" t="s">
        <v>15</v>
      </c>
      <c r="D86" s="4">
        <v>3</v>
      </c>
      <c r="E86" s="3">
        <v>1</v>
      </c>
      <c r="F86" s="4">
        <v>4</v>
      </c>
      <c r="G86" s="3">
        <v>1</v>
      </c>
      <c r="H86" s="4">
        <v>6</v>
      </c>
      <c r="I86" s="3">
        <v>1</v>
      </c>
      <c r="J86" s="4">
        <v>5</v>
      </c>
      <c r="K86" s="3">
        <v>1</v>
      </c>
      <c r="L86" s="4">
        <v>3</v>
      </c>
      <c r="M86" s="3">
        <v>1</v>
      </c>
      <c r="N86" s="4">
        <v>4</v>
      </c>
      <c r="O86" s="3">
        <v>1</v>
      </c>
      <c r="P86" s="4">
        <v>3</v>
      </c>
      <c r="Q86" s="3">
        <v>2</v>
      </c>
      <c r="R86" s="4">
        <v>4</v>
      </c>
      <c r="S86" s="3">
        <v>1</v>
      </c>
      <c r="T86" s="4">
        <v>3</v>
      </c>
      <c r="U86" s="3">
        <v>1</v>
      </c>
      <c r="V86" s="4">
        <v>5</v>
      </c>
      <c r="W86" s="3">
        <v>2</v>
      </c>
      <c r="X86" s="4">
        <v>4</v>
      </c>
      <c r="Y86" s="3">
        <v>1</v>
      </c>
      <c r="Z86" s="4">
        <v>2</v>
      </c>
      <c r="AA86" s="3">
        <v>1</v>
      </c>
      <c r="AD86" s="71"/>
      <c r="AE86" s="71"/>
      <c r="AF86" s="73"/>
      <c r="AG86" s="2" t="s">
        <v>5</v>
      </c>
      <c r="AH86" s="2" t="s">
        <v>7</v>
      </c>
      <c r="AI86" s="2" t="s">
        <v>8</v>
      </c>
      <c r="AJ86" s="2" t="s">
        <v>10</v>
      </c>
      <c r="AK86" s="2" t="s">
        <v>5</v>
      </c>
      <c r="AL86" s="2" t="s">
        <v>7</v>
      </c>
      <c r="AM86" s="2" t="s">
        <v>8</v>
      </c>
      <c r="AN86" s="2" t="s">
        <v>10</v>
      </c>
      <c r="AO86" s="2" t="s">
        <v>5</v>
      </c>
      <c r="AP86" s="2" t="s">
        <v>7</v>
      </c>
      <c r="AQ86" s="2" t="s">
        <v>8</v>
      </c>
      <c r="AR86" s="2" t="s">
        <v>10</v>
      </c>
      <c r="AS86" s="34"/>
      <c r="AT86" s="72"/>
    </row>
    <row r="87" spans="1:46" ht="15.5" x14ac:dyDescent="0.3">
      <c r="A87" s="71"/>
      <c r="B87" s="71"/>
      <c r="C87" s="1" t="s">
        <v>16</v>
      </c>
      <c r="D87" s="5">
        <v>8</v>
      </c>
      <c r="E87" s="3">
        <v>1</v>
      </c>
      <c r="F87" s="5">
        <v>7</v>
      </c>
      <c r="G87" s="3">
        <v>1</v>
      </c>
      <c r="H87" s="5">
        <v>8</v>
      </c>
      <c r="I87" s="3">
        <v>2</v>
      </c>
      <c r="J87" s="5">
        <v>8</v>
      </c>
      <c r="K87" s="3">
        <v>1</v>
      </c>
      <c r="L87" s="5">
        <v>6</v>
      </c>
      <c r="M87" s="3">
        <v>2</v>
      </c>
      <c r="N87" s="5">
        <v>5</v>
      </c>
      <c r="O87" s="3">
        <v>1</v>
      </c>
      <c r="P87" s="5">
        <v>5</v>
      </c>
      <c r="Q87" s="3">
        <v>1</v>
      </c>
      <c r="R87" s="5">
        <v>7</v>
      </c>
      <c r="S87" s="3">
        <v>2</v>
      </c>
      <c r="T87" s="5">
        <v>7</v>
      </c>
      <c r="U87" s="3">
        <v>2</v>
      </c>
      <c r="V87" s="5">
        <v>6</v>
      </c>
      <c r="W87" s="3">
        <v>1</v>
      </c>
      <c r="X87" s="5">
        <v>9</v>
      </c>
      <c r="Y87" s="3">
        <v>1</v>
      </c>
      <c r="Z87" s="5">
        <v>7</v>
      </c>
      <c r="AA87" s="3">
        <v>2</v>
      </c>
      <c r="AD87" s="71"/>
      <c r="AE87" s="71"/>
      <c r="AF87" s="1" t="s">
        <v>13</v>
      </c>
      <c r="AG87" s="58">
        <f>SUM(D71*E71)/(Q99*D189)*100%</f>
        <v>1.6216216216216217E-2</v>
      </c>
      <c r="AH87" s="58">
        <f>SUM(F71*G71)/(Q99*E189)*100%</f>
        <v>1.1764705882352941E-2</v>
      </c>
      <c r="AI87" s="58">
        <f>SUM(H71*I71)/(Q99*F189)*100%</f>
        <v>8.988764044943821E-3</v>
      </c>
      <c r="AJ87" s="58">
        <f>SUM(J71*K71)/(Q99*G189)*100%</f>
        <v>5.0632911392405064E-3</v>
      </c>
      <c r="AK87" s="58">
        <f>SUM(L71*M71)/(Q99*H189)*100%</f>
        <v>2.3529411764705882E-2</v>
      </c>
      <c r="AL87" s="58">
        <f>SUM(N71*O71)/(Q99*I189)*100%</f>
        <v>1.6216216216216217E-2</v>
      </c>
      <c r="AM87" s="58">
        <f>SUM(P71*Q71)/(Q99*J189)*100%</f>
        <v>4.8780487804878049E-3</v>
      </c>
      <c r="AN87" s="58">
        <f>SUM(R71*S71)/(Q99*K189)*100%</f>
        <v>1.1428571428571429E-2</v>
      </c>
      <c r="AO87" s="58">
        <f>SUM(T71*U71)/(Q99*L189)*100%</f>
        <v>1.0256410256410256E-2</v>
      </c>
      <c r="AP87" s="58">
        <f>SUM(V71*W71)/(Q99*M189)*100%</f>
        <v>1.6216216216216217E-2</v>
      </c>
      <c r="AQ87" s="58">
        <f>SUM(X71*Y71)/(Q99*N189)*100%</f>
        <v>5.7971014492753624E-3</v>
      </c>
      <c r="AR87" s="58">
        <f>SUM(Z71*AA71)/(Q99*O189)*100%</f>
        <v>1.0126582278481013E-2</v>
      </c>
      <c r="AS87" s="58">
        <f>SUM(AG87:AR87)</f>
        <v>0.14048153567311766</v>
      </c>
      <c r="AT87" s="58">
        <f t="shared" ref="AT87:AT95" si="20">AVERAGE(AG87:AR87)</f>
        <v>1.1706794639426471E-2</v>
      </c>
    </row>
    <row r="88" spans="1:46" ht="15.5" x14ac:dyDescent="0.3">
      <c r="A88" s="71"/>
      <c r="B88" s="71"/>
      <c r="C88" s="1" t="s">
        <v>17</v>
      </c>
      <c r="D88" s="5">
        <v>7</v>
      </c>
      <c r="E88" s="3">
        <v>1</v>
      </c>
      <c r="F88" s="5">
        <v>8</v>
      </c>
      <c r="G88" s="3">
        <v>1</v>
      </c>
      <c r="H88" s="5">
        <v>8</v>
      </c>
      <c r="I88" s="3">
        <v>2</v>
      </c>
      <c r="J88" s="5">
        <v>9</v>
      </c>
      <c r="K88" s="3">
        <v>1</v>
      </c>
      <c r="L88" s="5">
        <v>6</v>
      </c>
      <c r="M88" s="3">
        <v>1</v>
      </c>
      <c r="N88" s="5">
        <v>8</v>
      </c>
      <c r="O88" s="3">
        <v>1</v>
      </c>
      <c r="P88" s="5">
        <v>6</v>
      </c>
      <c r="Q88" s="3">
        <v>2</v>
      </c>
      <c r="R88" s="5">
        <v>7</v>
      </c>
      <c r="S88" s="3">
        <v>2</v>
      </c>
      <c r="T88" s="5">
        <v>7</v>
      </c>
      <c r="U88" s="3">
        <v>1</v>
      </c>
      <c r="V88" s="5">
        <v>6</v>
      </c>
      <c r="W88" s="3">
        <v>2</v>
      </c>
      <c r="X88" s="5">
        <v>7</v>
      </c>
      <c r="Y88" s="3">
        <v>1</v>
      </c>
      <c r="Z88" s="5">
        <v>6</v>
      </c>
      <c r="AA88" s="3">
        <v>1</v>
      </c>
      <c r="AD88" s="71"/>
      <c r="AE88" s="71"/>
      <c r="AF88" s="1" t="s">
        <v>14</v>
      </c>
      <c r="AG88" s="58">
        <f>SUM(D72*E72)/(Q99*D190)*100%</f>
        <v>1.6901408450704224E-2</v>
      </c>
      <c r="AH88" s="58">
        <f>SUM(F72*G72)/(Q99*E190)*100%</f>
        <v>2.2222222222222223E-2</v>
      </c>
      <c r="AI88" s="58">
        <f>SUM(H72*I72)/(Q99*F190)*100%</f>
        <v>1.1764705882352941E-2</v>
      </c>
      <c r="AJ88" s="58">
        <f>SUM(J72*K72)/(Q99*G190)*100%</f>
        <v>2.7397260273972601E-2</v>
      </c>
      <c r="AK88" s="58">
        <f>SUM(L72*M72)/(Q99*H190)*100%</f>
        <v>2.318840579710145E-2</v>
      </c>
      <c r="AL88" s="58">
        <f>SUM(N72*O72)/(Q99*I190)*100%</f>
        <v>1.6901408450704224E-2</v>
      </c>
      <c r="AM88" s="58">
        <f>SUM(P72*Q72)/(Q99*J190)*100%</f>
        <v>4.2857142857142858E-2</v>
      </c>
      <c r="AN88" s="58">
        <f>SUM(R72*S72)/(Q99*K190)*100%</f>
        <v>1.643835616438356E-2</v>
      </c>
      <c r="AO88" s="58">
        <f>SUM(T72*U72)/(Q99*L190)*100%</f>
        <v>8.3333333333333332E-3</v>
      </c>
      <c r="AP88" s="58">
        <f>SUM(V72*W72)/(Q99*M190)*100%</f>
        <v>1.891891891891892E-2</v>
      </c>
      <c r="AQ88" s="58">
        <f>SUM(X72*Y72)/(Q99*N190)*100%</f>
        <v>2.2857142857142857E-2</v>
      </c>
      <c r="AR88" s="58">
        <f>SUM(Z72*AA72)/(Q99*O190)*100%</f>
        <v>2.8985507246376812E-2</v>
      </c>
      <c r="AS88" s="58">
        <f t="shared" ref="AS88:AS95" si="21">SUM(AG88:AR88)</f>
        <v>0.25676581245435598</v>
      </c>
      <c r="AT88" s="58">
        <f t="shared" si="20"/>
        <v>2.1397151037862997E-2</v>
      </c>
    </row>
    <row r="89" spans="1:46" ht="15.5" x14ac:dyDescent="0.3">
      <c r="A89" s="71"/>
      <c r="B89" s="71"/>
      <c r="C89" s="1" t="s">
        <v>18</v>
      </c>
      <c r="D89" s="5">
        <v>7</v>
      </c>
      <c r="E89" s="3">
        <v>2</v>
      </c>
      <c r="F89" s="5">
        <v>5</v>
      </c>
      <c r="G89" s="3">
        <v>2</v>
      </c>
      <c r="H89" s="5">
        <v>7</v>
      </c>
      <c r="I89" s="3">
        <v>1</v>
      </c>
      <c r="J89" s="5">
        <v>6</v>
      </c>
      <c r="K89" s="3">
        <v>2</v>
      </c>
      <c r="L89" s="5">
        <v>6</v>
      </c>
      <c r="M89" s="3">
        <v>1</v>
      </c>
      <c r="N89" s="5">
        <v>7</v>
      </c>
      <c r="O89" s="3">
        <v>2</v>
      </c>
      <c r="P89" s="5">
        <v>6</v>
      </c>
      <c r="Q89" s="3">
        <v>2</v>
      </c>
      <c r="R89" s="5">
        <v>6</v>
      </c>
      <c r="S89" s="3">
        <v>1</v>
      </c>
      <c r="T89" s="5">
        <v>8</v>
      </c>
      <c r="U89" s="3">
        <v>2</v>
      </c>
      <c r="V89" s="5">
        <v>6</v>
      </c>
      <c r="W89" s="3">
        <v>1</v>
      </c>
      <c r="X89" s="5">
        <v>6</v>
      </c>
      <c r="Y89" s="3">
        <v>1</v>
      </c>
      <c r="Z89" s="5">
        <v>7</v>
      </c>
      <c r="AA89" s="3">
        <v>2</v>
      </c>
      <c r="AD89" s="71"/>
      <c r="AE89" s="71"/>
      <c r="AF89" s="1" t="s">
        <v>15</v>
      </c>
      <c r="AG89" s="58">
        <f>SUM(D73*E73)/(Q99*D191)*100%</f>
        <v>1.1111111111111112E-2</v>
      </c>
      <c r="AH89" s="58">
        <f>SUM(F73*G73)/(Q99*E191)*100%</f>
        <v>1.6901408450704224E-2</v>
      </c>
      <c r="AI89" s="58">
        <f>SUM(H73*I73)/(Q99*F191)*100%</f>
        <v>1.4285714285714285E-2</v>
      </c>
      <c r="AJ89" s="58">
        <f>SUM(J73*K73)/(Q99*G191)*100%</f>
        <v>2.1917808219178082E-2</v>
      </c>
      <c r="AK89" s="58">
        <f>SUM(L73*M73)/(Q99*H191)*100%</f>
        <v>1.6216216216216217E-2</v>
      </c>
      <c r="AL89" s="58">
        <f>SUM(N73*O73)/(Q99*I191)*100%</f>
        <v>2.8169014084507043E-2</v>
      </c>
      <c r="AM89" s="58">
        <f>SUM(P73*Q73)/(Q99*J191)*100%</f>
        <v>2.2857142857142857E-2</v>
      </c>
      <c r="AN89" s="58">
        <f>SUM(R73*S73)/(Q99*K191)*100%</f>
        <v>1.7391304347826087E-2</v>
      </c>
      <c r="AO89" s="58">
        <f>SUM(T73*U73)/(Q99*L191)*100%</f>
        <v>3.3333333333333333E-2</v>
      </c>
      <c r="AP89" s="58">
        <f>SUM(V73*W73)/(Q99*M191)*100%</f>
        <v>3.2432432432432434E-2</v>
      </c>
      <c r="AQ89" s="58">
        <f>SUM(X73*Y73)/(Q99*N191)*100%</f>
        <v>2.7397260273972601E-2</v>
      </c>
      <c r="AR89" s="58">
        <f>SUM(Z73*AA73)/(Q99*O191)*100%</f>
        <v>2.2222222222222223E-2</v>
      </c>
      <c r="AS89" s="58">
        <f t="shared" si="21"/>
        <v>0.26423496783436051</v>
      </c>
      <c r="AT89" s="58">
        <f t="shared" si="20"/>
        <v>2.2019580652863375E-2</v>
      </c>
    </row>
    <row r="90" spans="1:46" ht="15.5" x14ac:dyDescent="0.3">
      <c r="A90" s="71"/>
      <c r="B90" s="71"/>
      <c r="C90" s="1" t="s">
        <v>19</v>
      </c>
      <c r="D90" s="4">
        <v>1</v>
      </c>
      <c r="E90" s="3">
        <v>1</v>
      </c>
      <c r="F90" s="4">
        <v>2</v>
      </c>
      <c r="G90" s="3">
        <v>1</v>
      </c>
      <c r="H90" s="4">
        <v>0</v>
      </c>
      <c r="I90" s="3">
        <v>0</v>
      </c>
      <c r="J90" s="4">
        <v>1</v>
      </c>
      <c r="K90" s="3">
        <v>2</v>
      </c>
      <c r="L90" s="4">
        <v>2</v>
      </c>
      <c r="M90" s="3">
        <v>1</v>
      </c>
      <c r="N90" s="4">
        <v>1</v>
      </c>
      <c r="O90" s="3">
        <v>2</v>
      </c>
      <c r="P90" s="4">
        <v>3</v>
      </c>
      <c r="Q90" s="3">
        <v>1</v>
      </c>
      <c r="R90" s="4">
        <v>2</v>
      </c>
      <c r="S90" s="3">
        <v>2</v>
      </c>
      <c r="T90" s="4">
        <v>2</v>
      </c>
      <c r="U90" s="3">
        <v>1</v>
      </c>
      <c r="V90" s="4">
        <v>2</v>
      </c>
      <c r="W90" s="3">
        <v>2</v>
      </c>
      <c r="X90" s="4">
        <v>2</v>
      </c>
      <c r="Y90" s="3">
        <v>2</v>
      </c>
      <c r="Z90" s="4">
        <v>1</v>
      </c>
      <c r="AA90" s="3">
        <v>1</v>
      </c>
      <c r="AD90" s="71"/>
      <c r="AE90" s="71"/>
      <c r="AF90" s="1" t="s">
        <v>16</v>
      </c>
      <c r="AG90" s="58">
        <f>SUM(D74*E74)/(Q99*D192)*100%</f>
        <v>2.7027027027027029E-2</v>
      </c>
      <c r="AH90" s="58">
        <f>SUM(F74*G74)/(Q99*E192)*100%</f>
        <v>3.4782608695652174E-2</v>
      </c>
      <c r="AI90" s="58">
        <f>SUM(H74*I74)/(Q99*F192)*100%</f>
        <v>3.7499999999999999E-2</v>
      </c>
      <c r="AJ90" s="58">
        <f>SUM(J74*K74)/(Q99*G192)*100%</f>
        <v>0.02</v>
      </c>
      <c r="AK90" s="58">
        <f>SUM(L74*M74)/(Q99*H192)*100%</f>
        <v>1.8691588785046728E-2</v>
      </c>
      <c r="AL90" s="58">
        <f>SUM(N74*O74)/(Q99*I192)*100%</f>
        <v>2.1538461538461538E-2</v>
      </c>
      <c r="AM90" s="58">
        <f>SUM(P74*Q74)/(Q99*J192)*100%</f>
        <v>4.9315068493150684E-2</v>
      </c>
      <c r="AN90" s="58">
        <f>SUM(R74*S74)/(Q99*K192)*100%</f>
        <v>3.7333333333333336E-2</v>
      </c>
      <c r="AO90" s="58">
        <f>SUM(T74*U74)/(Q99*L192)*100%</f>
        <v>2.7586206896551724E-2</v>
      </c>
      <c r="AP90" s="58">
        <f>SUM(V74*W74)/(Q99*M192)*100%</f>
        <v>2.5454545454545455E-2</v>
      </c>
      <c r="AQ90" s="58">
        <f>SUM(X74*Y74)/(Q99*N192)*100%</f>
        <v>6.3157894736842107E-2</v>
      </c>
      <c r="AR90" s="58">
        <f>SUM(Z74*AA74)/(Q99*O192)*100%</f>
        <v>4.1025641025641026E-2</v>
      </c>
      <c r="AS90" s="58">
        <f t="shared" si="21"/>
        <v>0.40341237598625185</v>
      </c>
      <c r="AT90" s="58">
        <f t="shared" si="20"/>
        <v>3.3617697998854321E-2</v>
      </c>
    </row>
    <row r="91" spans="1:46" ht="15.5" x14ac:dyDescent="0.3">
      <c r="A91" s="71"/>
      <c r="B91" s="71"/>
      <c r="C91" s="1" t="s">
        <v>20</v>
      </c>
      <c r="D91" s="4">
        <v>2</v>
      </c>
      <c r="E91" s="3">
        <v>2</v>
      </c>
      <c r="F91" s="4">
        <v>2</v>
      </c>
      <c r="G91" s="3">
        <v>2</v>
      </c>
      <c r="H91" s="4">
        <v>2</v>
      </c>
      <c r="I91" s="3">
        <v>1</v>
      </c>
      <c r="J91" s="4">
        <v>1</v>
      </c>
      <c r="K91" s="3">
        <v>1</v>
      </c>
      <c r="L91" s="4">
        <v>0</v>
      </c>
      <c r="M91" s="3">
        <v>0</v>
      </c>
      <c r="N91" s="4">
        <v>0</v>
      </c>
      <c r="O91" s="3">
        <v>0</v>
      </c>
      <c r="P91" s="4">
        <v>0</v>
      </c>
      <c r="Q91" s="3">
        <v>0</v>
      </c>
      <c r="R91" s="4">
        <v>0</v>
      </c>
      <c r="S91" s="3">
        <v>0</v>
      </c>
      <c r="T91" s="4">
        <v>1</v>
      </c>
      <c r="U91" s="3">
        <v>1</v>
      </c>
      <c r="V91" s="4">
        <v>2</v>
      </c>
      <c r="W91" s="3">
        <v>1</v>
      </c>
      <c r="X91" s="4">
        <v>1</v>
      </c>
      <c r="Y91" s="3">
        <v>2</v>
      </c>
      <c r="Z91" s="4">
        <v>2</v>
      </c>
      <c r="AA91" s="3">
        <v>2</v>
      </c>
      <c r="AD91" s="71"/>
      <c r="AE91" s="71"/>
      <c r="AF91" s="1" t="s">
        <v>17</v>
      </c>
      <c r="AG91" s="58">
        <f>SUM(D75*E75)/(Q99*D193)*100%</f>
        <v>1.9512195121951219E-2</v>
      </c>
      <c r="AH91" s="58">
        <f>SUM(F75*G75)/(Q99*E193)*100%</f>
        <v>1.5151515151515152E-2</v>
      </c>
      <c r="AI91" s="58">
        <f>SUM(H75*I75)/(Q99*F193)*100%</f>
        <v>3.5294117647058823E-2</v>
      </c>
      <c r="AJ91" s="58">
        <f>SUM(J75*K75)/(Q99*G193)*100%</f>
        <v>3.7333333333333336E-2</v>
      </c>
      <c r="AK91" s="58">
        <f>SUM(L75*M75)/(Q99*H193)*100%</f>
        <v>3.125E-2</v>
      </c>
      <c r="AL91" s="58">
        <f>SUM(N75*O75)/(Q99*I193)*100%</f>
        <v>3.6923076923076927E-2</v>
      </c>
      <c r="AM91" s="58">
        <f>SUM(P75*Q75)/(Q99*J193)*100%</f>
        <v>2.7397260273972601E-2</v>
      </c>
      <c r="AN91" s="58">
        <f>SUM(R75*S75)/(Q99*K193)*100%</f>
        <v>3.2000000000000001E-2</v>
      </c>
      <c r="AO91" s="58">
        <f>SUM(T75*U75)/(Q99*L193)*100%</f>
        <v>5.185185185185185E-2</v>
      </c>
      <c r="AP91" s="58">
        <f>SUM(V75*W75)/(Q99*M193)*100%</f>
        <v>6.1538461538461542E-2</v>
      </c>
      <c r="AQ91" s="58">
        <f>SUM(X75*Y75)/(Q99*N193)*100%</f>
        <v>8.8888888888888892E-2</v>
      </c>
      <c r="AR91" s="58">
        <f>SUM(Z75*AA75)/(Q99*O193)*100%</f>
        <v>7.8260869565217397E-2</v>
      </c>
      <c r="AS91" s="58">
        <f t="shared" si="21"/>
        <v>0.51540157029532774</v>
      </c>
      <c r="AT91" s="58">
        <f t="shared" si="20"/>
        <v>4.2950130857943976E-2</v>
      </c>
    </row>
    <row r="92" spans="1:46" ht="15.5" x14ac:dyDescent="0.3">
      <c r="A92" s="72"/>
      <c r="B92" s="72"/>
      <c r="C92" s="1" t="s">
        <v>21</v>
      </c>
      <c r="D92" s="4">
        <v>3</v>
      </c>
      <c r="E92" s="3">
        <v>1</v>
      </c>
      <c r="F92" s="4">
        <v>2</v>
      </c>
      <c r="G92" s="3">
        <v>1</v>
      </c>
      <c r="H92" s="4">
        <v>1</v>
      </c>
      <c r="I92" s="3">
        <v>2</v>
      </c>
      <c r="J92" s="4">
        <v>2</v>
      </c>
      <c r="K92" s="3">
        <v>2</v>
      </c>
      <c r="L92" s="4">
        <v>3</v>
      </c>
      <c r="M92" s="3">
        <v>1</v>
      </c>
      <c r="N92" s="4">
        <v>3</v>
      </c>
      <c r="O92" s="3">
        <v>1</v>
      </c>
      <c r="P92" s="4">
        <v>0</v>
      </c>
      <c r="Q92" s="3">
        <v>0</v>
      </c>
      <c r="R92" s="4">
        <v>0</v>
      </c>
      <c r="S92" s="3">
        <v>0</v>
      </c>
      <c r="T92" s="4">
        <v>2</v>
      </c>
      <c r="U92" s="3">
        <v>2</v>
      </c>
      <c r="V92" s="4">
        <v>3</v>
      </c>
      <c r="W92" s="3">
        <v>2</v>
      </c>
      <c r="X92" s="4">
        <v>0</v>
      </c>
      <c r="Y92" s="3">
        <v>0</v>
      </c>
      <c r="Z92" s="4">
        <v>1</v>
      </c>
      <c r="AA92" s="3">
        <v>1</v>
      </c>
      <c r="AD92" s="71"/>
      <c r="AE92" s="71"/>
      <c r="AF92" s="1" t="s">
        <v>18</v>
      </c>
      <c r="AG92" s="58">
        <f>SUM(D76*E76)/(Q99*D194)*100%</f>
        <v>7.8688524590163941E-2</v>
      </c>
      <c r="AH92" s="58">
        <f>SUM(F76*G76)/(Q99*E194)*100%</f>
        <v>0.04</v>
      </c>
      <c r="AI92" s="58">
        <f>SUM(H76*I76)/(Q99*F194)*100%</f>
        <v>1.2903225806451613E-2</v>
      </c>
      <c r="AJ92" s="58">
        <f>SUM(J76*K76)/(Q99*G194)*100%</f>
        <v>1.9047619047619049E-2</v>
      </c>
      <c r="AK92" s="58">
        <f>SUM(L76*M76)/(Q99*H194)*100%</f>
        <v>2.6966292134831461E-2</v>
      </c>
      <c r="AL92" s="58">
        <f>SUM(N76*O76)/(Q99*I194)*100%</f>
        <v>2.3880597014925373E-2</v>
      </c>
      <c r="AM92" s="58">
        <f>SUM(P76*Q76)/(Q99*J194)*100%</f>
        <v>4.2424242424242427E-2</v>
      </c>
      <c r="AN92" s="58">
        <f>SUM(R76*S76)/(Q99*K194)*100%</f>
        <v>3.4782608695652174E-2</v>
      </c>
      <c r="AO92" s="58">
        <f>SUM(T76*U76)/(Q99*L194)*100%</f>
        <v>5.7142857142857141E-2</v>
      </c>
      <c r="AP92" s="58">
        <f>SUM(V76*W76)/(Q99*M194)*100%</f>
        <v>1.8518518518518517E-2</v>
      </c>
      <c r="AQ92" s="58">
        <f>SUM(X76*Y76)/(Q99*N194)*100%</f>
        <v>5.0909090909090911E-2</v>
      </c>
      <c r="AR92" s="58">
        <f>SUM(Z76*AA76)/(Q99*O194)*100%</f>
        <v>4.1379310344827586E-2</v>
      </c>
      <c r="AS92" s="58">
        <f t="shared" si="21"/>
        <v>0.44664288662918017</v>
      </c>
      <c r="AT92" s="58">
        <f t="shared" si="20"/>
        <v>3.7220240552431678E-2</v>
      </c>
    </row>
    <row r="93" spans="1:46" ht="15.5" x14ac:dyDescent="0.3">
      <c r="AD93" s="71"/>
      <c r="AE93" s="71"/>
      <c r="AF93" s="1" t="s">
        <v>19</v>
      </c>
      <c r="AG93" s="58">
        <f>SUM(D77*E77)/(Q99*D195)*100%</f>
        <v>6.8965517241379309E-3</v>
      </c>
      <c r="AH93" s="58">
        <f>SUM(F77*G77)/(Q99*E195)*100%</f>
        <v>8.8888888888888889E-3</v>
      </c>
      <c r="AI93" s="58">
        <f>SUM(H77*I77)/(Q99*F195)*100%</f>
        <v>1.2121212121212121E-2</v>
      </c>
      <c r="AJ93" s="58">
        <f>SUM(J77*K77)/(Q99*G195)*100%</f>
        <v>8.8888888888888889E-3</v>
      </c>
      <c r="AK93" s="58">
        <f>SUM(L77*M77)/(Q99*H195)*100%</f>
        <v>5.8823529411764705E-3</v>
      </c>
      <c r="AL93" s="58">
        <f>SUM(N77*O77)/(Q99*I195)*100%</f>
        <v>1.4285714285714285E-2</v>
      </c>
      <c r="AM93" s="58">
        <f>SUM(P77*Q77)/(Q99*J195)*100%</f>
        <v>1.2903225806451613E-2</v>
      </c>
      <c r="AN93" s="58">
        <f>SUM(R77*S77)/(Q99*K195)*100%</f>
        <v>1.9230769230769232E-3</v>
      </c>
      <c r="AO93" s="58">
        <f>SUM(T77*U77)/(Q99*L195)*100%</f>
        <v>1.4999999999999999E-2</v>
      </c>
      <c r="AP93" s="58">
        <f>SUM(V77*W77)/(Q99*M195)*100%</f>
        <v>8.6021505376344086E-3</v>
      </c>
      <c r="AQ93" s="58">
        <f>SUM(X77*Y77)/(Q99*N195)*100%</f>
        <v>6.2500000000000003E-3</v>
      </c>
      <c r="AR93" s="58">
        <f>SUM(Z77*AA77)/(Q99*O195)*100%</f>
        <v>9.3023255813953487E-3</v>
      </c>
      <c r="AS93" s="58">
        <f t="shared" si="21"/>
        <v>0.11094438769857688</v>
      </c>
      <c r="AT93" s="58">
        <f t="shared" si="20"/>
        <v>9.2453656415480735E-3</v>
      </c>
    </row>
    <row r="94" spans="1:46" ht="19" x14ac:dyDescent="0.4">
      <c r="A94" s="57" t="s">
        <v>30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Q94" s="2" t="s">
        <v>33</v>
      </c>
      <c r="AD94" s="71"/>
      <c r="AE94" s="71"/>
      <c r="AF94" s="1" t="s">
        <v>20</v>
      </c>
      <c r="AG94" s="58">
        <f>SUM(D78*E78)/(Q99*D196)*100%</f>
        <v>1.0126582278481013E-2</v>
      </c>
      <c r="AH94" s="58">
        <f>SUM(F78*G78)/(Q99*E196)*100%</f>
        <v>2.8169014084507044E-3</v>
      </c>
      <c r="AI94" s="58">
        <f>SUM(H78*I78)/(Q99*F196)*100%</f>
        <v>1.2500000000000001E-2</v>
      </c>
      <c r="AJ94" s="58">
        <f>SUM(J78*K78)/(Q99*G196)*100%</f>
        <v>3.8834951456310678E-3</v>
      </c>
      <c r="AK94" s="58">
        <f>SUM(L78*M78)/(Q99*H196)*100%</f>
        <v>6.6115702479338841E-3</v>
      </c>
      <c r="AL94" s="58">
        <f>SUM(N78*O78)/(Q99*I196)*100%</f>
        <v>3.5087719298245615E-3</v>
      </c>
      <c r="AM94" s="58">
        <f>SUM(P78*Q78)/(Q99*J196)*100%</f>
        <v>1.1320754716981131E-2</v>
      </c>
      <c r="AN94" s="58">
        <f>SUM(R78*S78)/(Q99*K196)*100%</f>
        <v>5.1282051282051282E-3</v>
      </c>
      <c r="AO94" s="58">
        <f>SUM(T78*U78)/(Q99*L196)*100%</f>
        <v>7.7669902912621356E-3</v>
      </c>
      <c r="AP94" s="58">
        <f>SUM(V78*W78)/(Q99*M196)*100%</f>
        <v>4.9382716049382715E-3</v>
      </c>
      <c r="AQ94" s="58">
        <f>SUM(X78*Y78)/(Q99*N196)*100%</f>
        <v>7.8431372549019607E-3</v>
      </c>
      <c r="AR94" s="58">
        <f>SUM(Z78*AA78)/(Q99*O196)*100%</f>
        <v>2.631578947368421E-3</v>
      </c>
      <c r="AS94" s="58">
        <f t="shared" si="21"/>
        <v>7.9076258953978268E-2</v>
      </c>
      <c r="AT94" s="58">
        <f t="shared" si="20"/>
        <v>6.5896882461648557E-3</v>
      </c>
    </row>
    <row r="95" spans="1:46" ht="15.5" x14ac:dyDescent="0.3">
      <c r="A95" s="9" t="s">
        <v>29</v>
      </c>
      <c r="B95" s="9" t="s">
        <v>1</v>
      </c>
      <c r="C95" s="79" t="s">
        <v>2</v>
      </c>
      <c r="D95" s="74" t="s">
        <v>3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Q95" s="2">
        <v>1</v>
      </c>
      <c r="AD95" s="71"/>
      <c r="AE95" s="71"/>
      <c r="AF95" s="1" t="s">
        <v>21</v>
      </c>
      <c r="AG95" s="58">
        <f>SUM(D79*E79)/(Q99*D197)*100%</f>
        <v>6.1538461538461538E-3</v>
      </c>
      <c r="AH95" s="58">
        <f>SUM(F79*G79)/(Q99*E197)*100%</f>
        <v>1.3483146067415731E-2</v>
      </c>
      <c r="AI95" s="58">
        <f>SUM(H79*I79)/(Q99*F197)*100%</f>
        <v>3.3333333333333335E-3</v>
      </c>
      <c r="AJ95" s="58">
        <f>SUM(J79*K79)/(Q99*G197)*100%</f>
        <v>1.9801980198019802E-3</v>
      </c>
      <c r="AK95" s="58">
        <f>SUM(L79*M79)/(Q99*H197)*100%</f>
        <v>1.7699115044247787E-3</v>
      </c>
      <c r="AL95" s="58">
        <f>SUM(N79*O79)/(Q99*I197)*100%</f>
        <v>1.1428571428571429E-2</v>
      </c>
      <c r="AM95" s="58">
        <f>SUM(P79*Q79)/(Q99*J197)*100%</f>
        <v>1.0958904109589041E-2</v>
      </c>
      <c r="AN95" s="58">
        <f>SUM(R79*S79)/(Q99*K197)*100%</f>
        <v>1.0666666666666666E-2</v>
      </c>
      <c r="AO95" s="58">
        <f>SUM(T79*U79)/(Q99*L197)*100%</f>
        <v>0</v>
      </c>
      <c r="AP95" s="58">
        <f>SUM(V79*W79)/(Q99*M197)*100%</f>
        <v>4.3478260869565218E-3</v>
      </c>
      <c r="AQ95" s="58">
        <f>SUM(X79*Y79)/(Q99*N197)*100%</f>
        <v>4.3956043956043956E-3</v>
      </c>
      <c r="AR95" s="58">
        <f>SUM(Z79*AA79)/(Q99*O197)*100%</f>
        <v>0</v>
      </c>
      <c r="AS95" s="58">
        <f t="shared" si="21"/>
        <v>6.8518007766210018E-2</v>
      </c>
      <c r="AT95" s="58">
        <f t="shared" si="20"/>
        <v>5.7098339805175015E-3</v>
      </c>
    </row>
    <row r="96" spans="1:46" ht="15.5" x14ac:dyDescent="0.3">
      <c r="A96" s="67"/>
      <c r="B96" s="67" t="s">
        <v>31</v>
      </c>
      <c r="C96" s="79"/>
      <c r="D96" s="74" t="s">
        <v>4</v>
      </c>
      <c r="E96" s="74"/>
      <c r="F96" s="74"/>
      <c r="G96" s="74"/>
      <c r="H96" s="74" t="s">
        <v>11</v>
      </c>
      <c r="I96" s="74"/>
      <c r="J96" s="74"/>
      <c r="K96" s="74"/>
      <c r="L96" s="74" t="s">
        <v>12</v>
      </c>
      <c r="M96" s="74"/>
      <c r="N96" s="74"/>
      <c r="O96" s="74"/>
      <c r="Q96" s="2">
        <v>2</v>
      </c>
      <c r="AD96" s="71"/>
      <c r="AE96" s="71"/>
      <c r="AF96" s="1" t="s">
        <v>48</v>
      </c>
      <c r="AG96" s="58">
        <f>SUM(AG87:AG95)</f>
        <v>0.19263346267363882</v>
      </c>
      <c r="AH96" s="58">
        <f t="shared" ref="AH96:AR96" si="22">SUM(AH87:AH95)</f>
        <v>0.16601139676720206</v>
      </c>
      <c r="AI96" s="58">
        <f t="shared" si="22"/>
        <v>0.14869107312106694</v>
      </c>
      <c r="AJ96" s="58">
        <f t="shared" si="22"/>
        <v>0.14551189406766551</v>
      </c>
      <c r="AK96" s="58">
        <f t="shared" si="22"/>
        <v>0.1541057493914369</v>
      </c>
      <c r="AL96" s="58">
        <f t="shared" si="22"/>
        <v>0.17285183187200159</v>
      </c>
      <c r="AM96" s="58">
        <f t="shared" si="22"/>
        <v>0.22491179031916103</v>
      </c>
      <c r="AN96" s="58">
        <f t="shared" si="22"/>
        <v>0.16709212268771528</v>
      </c>
      <c r="AO96" s="58">
        <f t="shared" si="22"/>
        <v>0.21127098310559975</v>
      </c>
      <c r="AP96" s="58">
        <f t="shared" si="22"/>
        <v>0.19096734130862228</v>
      </c>
      <c r="AQ96" s="58">
        <f t="shared" si="22"/>
        <v>0.27749612076571906</v>
      </c>
      <c r="AR96" s="58">
        <f t="shared" si="22"/>
        <v>0.23393403721152983</v>
      </c>
      <c r="AS96" s="58">
        <f>SUM(AS87:AS95)</f>
        <v>2.285477803291359</v>
      </c>
      <c r="AT96" s="58"/>
    </row>
    <row r="97" spans="1:46" ht="15.5" x14ac:dyDescent="0.3">
      <c r="A97" s="68"/>
      <c r="B97" s="68"/>
      <c r="C97" s="79"/>
      <c r="D97" s="62" t="s">
        <v>5</v>
      </c>
      <c r="E97" s="62" t="s">
        <v>7</v>
      </c>
      <c r="F97" s="62" t="s">
        <v>8</v>
      </c>
      <c r="G97" s="62" t="s">
        <v>10</v>
      </c>
      <c r="H97" s="62" t="s">
        <v>5</v>
      </c>
      <c r="I97" s="62" t="s">
        <v>7</v>
      </c>
      <c r="J97" s="62" t="s">
        <v>8</v>
      </c>
      <c r="K97" s="62" t="s">
        <v>10</v>
      </c>
      <c r="L97" s="62" t="s">
        <v>5</v>
      </c>
      <c r="M97" s="62" t="s">
        <v>7</v>
      </c>
      <c r="N97" s="62" t="s">
        <v>8</v>
      </c>
      <c r="O97" s="62" t="s">
        <v>10</v>
      </c>
      <c r="Q97" s="2">
        <v>3</v>
      </c>
      <c r="AD97" s="72"/>
      <c r="AE97" s="72"/>
      <c r="AF97" s="1" t="s">
        <v>47</v>
      </c>
      <c r="AG97" s="58">
        <f t="shared" ref="AG97:AR97" si="23">AVERAGE(AG87:AG95)</f>
        <v>2.1403718074848758E-2</v>
      </c>
      <c r="AH97" s="58">
        <f t="shared" si="23"/>
        <v>1.8445710751911339E-2</v>
      </c>
      <c r="AI97" s="58">
        <f t="shared" si="23"/>
        <v>1.6521230346785216E-2</v>
      </c>
      <c r="AJ97" s="58">
        <f t="shared" si="23"/>
        <v>1.6167988229740613E-2</v>
      </c>
      <c r="AK97" s="58">
        <f t="shared" si="23"/>
        <v>1.712286104349299E-2</v>
      </c>
      <c r="AL97" s="58">
        <f t="shared" si="23"/>
        <v>1.9205759096889066E-2</v>
      </c>
      <c r="AM97" s="58">
        <f t="shared" si="23"/>
        <v>2.4990198924351226E-2</v>
      </c>
      <c r="AN97" s="58">
        <f t="shared" si="23"/>
        <v>1.8565791409746141E-2</v>
      </c>
      <c r="AO97" s="58">
        <f t="shared" si="23"/>
        <v>2.347455367839997E-2</v>
      </c>
      <c r="AP97" s="58">
        <f t="shared" si="23"/>
        <v>2.1218593478735809E-2</v>
      </c>
      <c r="AQ97" s="58">
        <f t="shared" si="23"/>
        <v>3.0832902307302117E-2</v>
      </c>
      <c r="AR97" s="58">
        <f t="shared" si="23"/>
        <v>2.5992670801281093E-2</v>
      </c>
      <c r="AS97" s="58"/>
      <c r="AT97" s="58"/>
    </row>
    <row r="98" spans="1:46" ht="15.5" x14ac:dyDescent="0.3">
      <c r="A98" s="68"/>
      <c r="B98" s="68"/>
      <c r="C98" s="7" t="s">
        <v>13</v>
      </c>
      <c r="D98" s="6">
        <v>17</v>
      </c>
      <c r="E98" s="6">
        <v>20</v>
      </c>
      <c r="F98" s="6">
        <v>23</v>
      </c>
      <c r="G98" s="6">
        <v>20</v>
      </c>
      <c r="H98" s="6">
        <v>11</v>
      </c>
      <c r="I98" s="6">
        <v>6</v>
      </c>
      <c r="J98" s="6">
        <v>6</v>
      </c>
      <c r="K98" s="6">
        <v>12</v>
      </c>
      <c r="L98" s="6">
        <v>26</v>
      </c>
      <c r="M98" s="6">
        <v>13</v>
      </c>
      <c r="N98" s="6">
        <v>19</v>
      </c>
      <c r="O98" s="6">
        <v>17</v>
      </c>
      <c r="Q98" s="1">
        <v>4</v>
      </c>
      <c r="AD98" s="61"/>
      <c r="AE98" s="61"/>
      <c r="AF98" s="15"/>
    </row>
    <row r="99" spans="1:46" ht="15.5" x14ac:dyDescent="0.3">
      <c r="A99" s="68"/>
      <c r="B99" s="68"/>
      <c r="C99" s="7" t="s">
        <v>14</v>
      </c>
      <c r="D99" s="54">
        <v>13</v>
      </c>
      <c r="E99" s="54">
        <v>16</v>
      </c>
      <c r="F99" s="54">
        <v>17</v>
      </c>
      <c r="G99" s="54">
        <v>18</v>
      </c>
      <c r="H99" s="54">
        <v>10</v>
      </c>
      <c r="I99" s="54">
        <v>8</v>
      </c>
      <c r="J99" s="54">
        <v>9</v>
      </c>
      <c r="K99" s="54">
        <v>13</v>
      </c>
      <c r="L99" s="54">
        <v>19</v>
      </c>
      <c r="M99" s="54">
        <v>14</v>
      </c>
      <c r="N99" s="54">
        <v>15</v>
      </c>
      <c r="O99" s="54">
        <v>17</v>
      </c>
      <c r="Q99" s="2">
        <v>5</v>
      </c>
      <c r="AD99" s="61"/>
      <c r="AE99" s="61"/>
      <c r="AF99" s="15"/>
    </row>
    <row r="100" spans="1:46" ht="15.5" x14ac:dyDescent="0.3">
      <c r="A100" s="68"/>
      <c r="B100" s="68"/>
      <c r="C100" s="7" t="s">
        <v>15</v>
      </c>
      <c r="D100" s="54">
        <v>15</v>
      </c>
      <c r="E100" s="54">
        <v>14</v>
      </c>
      <c r="F100" s="54">
        <v>16</v>
      </c>
      <c r="G100" s="54">
        <v>15</v>
      </c>
      <c r="H100" s="54">
        <v>12</v>
      </c>
      <c r="I100" s="54">
        <v>9</v>
      </c>
      <c r="J100" s="54">
        <v>9</v>
      </c>
      <c r="K100" s="54">
        <v>13</v>
      </c>
      <c r="L100" s="54">
        <v>20</v>
      </c>
      <c r="M100" s="54">
        <v>10</v>
      </c>
      <c r="N100" s="54">
        <v>15</v>
      </c>
      <c r="O100" s="54">
        <v>14</v>
      </c>
      <c r="AD100" s="3" t="s">
        <v>29</v>
      </c>
      <c r="AE100" s="3" t="s">
        <v>1</v>
      </c>
      <c r="AF100" s="73" t="s">
        <v>2</v>
      </c>
      <c r="AG100" s="75" t="s">
        <v>3</v>
      </c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3"/>
      <c r="AT100" s="73" t="s">
        <v>47</v>
      </c>
    </row>
    <row r="101" spans="1:46" ht="15" customHeight="1" x14ac:dyDescent="0.3">
      <c r="A101" s="68"/>
      <c r="B101" s="68"/>
      <c r="C101" s="7" t="s">
        <v>16</v>
      </c>
      <c r="D101" s="6">
        <v>10</v>
      </c>
      <c r="E101" s="6">
        <v>12</v>
      </c>
      <c r="F101" s="6">
        <v>11</v>
      </c>
      <c r="G101" s="6">
        <v>13</v>
      </c>
      <c r="H101" s="6">
        <v>26</v>
      </c>
      <c r="I101" s="6">
        <v>13</v>
      </c>
      <c r="J101" s="6">
        <v>13</v>
      </c>
      <c r="K101" s="6">
        <v>19</v>
      </c>
      <c r="L101" s="6">
        <v>15</v>
      </c>
      <c r="M101" s="6">
        <v>15</v>
      </c>
      <c r="N101" s="6">
        <v>19</v>
      </c>
      <c r="O101" s="6">
        <v>19</v>
      </c>
      <c r="AD101" s="70">
        <v>7</v>
      </c>
      <c r="AE101" s="70" t="s">
        <v>28</v>
      </c>
      <c r="AF101" s="73"/>
      <c r="AG101" s="75" t="s">
        <v>4</v>
      </c>
      <c r="AH101" s="75"/>
      <c r="AI101" s="75"/>
      <c r="AJ101" s="75"/>
      <c r="AK101" s="75" t="s">
        <v>11</v>
      </c>
      <c r="AL101" s="75"/>
      <c r="AM101" s="75"/>
      <c r="AN101" s="75"/>
      <c r="AO101" s="75" t="s">
        <v>12</v>
      </c>
      <c r="AP101" s="75"/>
      <c r="AQ101" s="75"/>
      <c r="AR101" s="75"/>
      <c r="AS101" s="3" t="s">
        <v>48</v>
      </c>
      <c r="AT101" s="73"/>
    </row>
    <row r="102" spans="1:46" ht="15.5" x14ac:dyDescent="0.3">
      <c r="A102" s="68"/>
      <c r="B102" s="68"/>
      <c r="C102" s="7" t="s">
        <v>17</v>
      </c>
      <c r="D102" s="6">
        <v>17</v>
      </c>
      <c r="E102" s="6">
        <v>17</v>
      </c>
      <c r="F102" s="6">
        <v>23</v>
      </c>
      <c r="G102" s="6">
        <v>16</v>
      </c>
      <c r="H102" s="6">
        <v>14</v>
      </c>
      <c r="I102" s="6">
        <v>12</v>
      </c>
      <c r="J102" s="6">
        <v>15</v>
      </c>
      <c r="K102" s="6">
        <v>20</v>
      </c>
      <c r="L102" s="6">
        <v>26</v>
      </c>
      <c r="M102" s="6">
        <v>27</v>
      </c>
      <c r="N102" s="6">
        <v>21</v>
      </c>
      <c r="O102" s="6">
        <v>17</v>
      </c>
      <c r="AD102" s="71"/>
      <c r="AE102" s="71"/>
      <c r="AF102" s="73"/>
      <c r="AG102" s="2" t="s">
        <v>5</v>
      </c>
      <c r="AH102" s="2" t="s">
        <v>7</v>
      </c>
      <c r="AI102" s="2" t="s">
        <v>8</v>
      </c>
      <c r="AJ102" s="2" t="s">
        <v>10</v>
      </c>
      <c r="AK102" s="2" t="s">
        <v>5</v>
      </c>
      <c r="AL102" s="2" t="s">
        <v>7</v>
      </c>
      <c r="AM102" s="2" t="s">
        <v>8</v>
      </c>
      <c r="AN102" s="2" t="s">
        <v>10</v>
      </c>
      <c r="AO102" s="2" t="s">
        <v>5</v>
      </c>
      <c r="AP102" s="2" t="s">
        <v>7</v>
      </c>
      <c r="AQ102" s="2" t="s">
        <v>8</v>
      </c>
      <c r="AR102" s="2" t="s">
        <v>10</v>
      </c>
      <c r="AS102" s="2"/>
      <c r="AT102" s="73"/>
    </row>
    <row r="103" spans="1:46" ht="15.5" x14ac:dyDescent="0.3">
      <c r="A103" s="68"/>
      <c r="B103" s="68"/>
      <c r="C103" s="7" t="s">
        <v>18</v>
      </c>
      <c r="D103" s="6">
        <v>14</v>
      </c>
      <c r="E103" s="6">
        <v>14</v>
      </c>
      <c r="F103" s="6">
        <v>25</v>
      </c>
      <c r="G103" s="6">
        <v>17</v>
      </c>
      <c r="H103" s="6">
        <v>11</v>
      </c>
      <c r="I103" s="6">
        <v>11</v>
      </c>
      <c r="J103" s="6">
        <v>17</v>
      </c>
      <c r="K103" s="6">
        <v>21</v>
      </c>
      <c r="L103" s="6">
        <v>11</v>
      </c>
      <c r="M103" s="6">
        <v>12</v>
      </c>
      <c r="N103" s="6">
        <v>17</v>
      </c>
      <c r="O103" s="6">
        <v>15</v>
      </c>
      <c r="AD103" s="71"/>
      <c r="AE103" s="71"/>
      <c r="AF103" s="1" t="s">
        <v>13</v>
      </c>
      <c r="AG103" s="58">
        <f>SUM(D84*E84)/(Q99*D202)*100%</f>
        <v>0.01</v>
      </c>
      <c r="AH103" s="58">
        <f>SUM(F84*G84)/(Q99*E202)*100%</f>
        <v>5.5555555555555558E-3</v>
      </c>
      <c r="AI103" s="58">
        <f>SUM(H84*I84)/(Q99*F202)*100%</f>
        <v>4.5977011494252873E-3</v>
      </c>
      <c r="AJ103" s="58">
        <f>SUM(J84*K84)/(Q99*G202)*100%</f>
        <v>4.8780487804878049E-3</v>
      </c>
      <c r="AK103" s="58">
        <f>SUM(L84*M84)/(Q99*H202)*100%</f>
        <v>8.0000000000000002E-3</v>
      </c>
      <c r="AL103" s="58">
        <f>SUM(N84*O84)/(Q99*I202)*100%</f>
        <v>5.263157894736842E-3</v>
      </c>
      <c r="AM103" s="58">
        <f>SUM(P84*Q84)/(Q99*J202)*100%</f>
        <v>1.4814814814814815E-2</v>
      </c>
      <c r="AN103" s="58">
        <f>SUM(R84*S84)/(Q99*K202)*100%</f>
        <v>5.5555555555555558E-3</v>
      </c>
      <c r="AO103" s="58">
        <f>SUM(T84*U84)/(Q99*L202)*100%</f>
        <v>5.1948051948051948E-3</v>
      </c>
      <c r="AP103" s="58">
        <f>SUM(V84*W84)/(Q99*M202)*100%</f>
        <v>2.6666666666666666E-3</v>
      </c>
      <c r="AQ103" s="58">
        <f>SUM(X84*Y84)/(Q99*N202)*100%</f>
        <v>0</v>
      </c>
      <c r="AR103" s="58">
        <f>SUM(Z84*AA84)/(Q99*O202)*100%</f>
        <v>2.4691358024691358E-3</v>
      </c>
      <c r="AS103" s="58">
        <f>SUM(AG103:AR103)</f>
        <v>6.8995441414516856E-2</v>
      </c>
      <c r="AT103" s="58">
        <f t="shared" ref="AT103:AT111" si="24">AVERAGE(AG103:AR103)</f>
        <v>5.7496201178764044E-3</v>
      </c>
    </row>
    <row r="104" spans="1:46" ht="15.5" x14ac:dyDescent="0.3">
      <c r="A104" s="68"/>
      <c r="B104" s="68"/>
      <c r="C104" s="7" t="s">
        <v>19</v>
      </c>
      <c r="D104" s="6">
        <v>21</v>
      </c>
      <c r="E104" s="6">
        <v>16</v>
      </c>
      <c r="F104" s="6">
        <v>16</v>
      </c>
      <c r="G104" s="6">
        <v>15</v>
      </c>
      <c r="H104" s="6">
        <v>12</v>
      </c>
      <c r="I104" s="6">
        <v>15</v>
      </c>
      <c r="J104" s="6">
        <v>10</v>
      </c>
      <c r="K104" s="6">
        <v>19</v>
      </c>
      <c r="L104" s="6">
        <v>15</v>
      </c>
      <c r="M104" s="6">
        <v>11</v>
      </c>
      <c r="N104" s="6">
        <v>18</v>
      </c>
      <c r="O104" s="6">
        <v>18</v>
      </c>
      <c r="AD104" s="71"/>
      <c r="AE104" s="71"/>
      <c r="AF104" s="1" t="s">
        <v>14</v>
      </c>
      <c r="AG104" s="58">
        <f>SUM(D85*E85)/(Q99*D203)*100%</f>
        <v>1.6666666666666666E-2</v>
      </c>
      <c r="AH104" s="58">
        <f>SUM(F85*G85)/(Q99*E203)*100%</f>
        <v>1.643835616438356E-2</v>
      </c>
      <c r="AI104" s="58">
        <f>SUM(H85*I85)/(Q99*F203)*100%</f>
        <v>2.2857142857142857E-2</v>
      </c>
      <c r="AJ104" s="58">
        <f>SUM(J85*K85)/(Q99*G203)*100%</f>
        <v>5.6338028169014088E-3</v>
      </c>
      <c r="AK104" s="58">
        <f>SUM(L85*M85)/(Q99*H203)*100%</f>
        <v>2.2222222222222223E-2</v>
      </c>
      <c r="AL104" s="58">
        <f>SUM(N85*O85)/(Q99*I203)*100%</f>
        <v>1.3157894736842105E-2</v>
      </c>
      <c r="AM104" s="58">
        <f>SUM(P85*Q85)/(Q99*J203)*100%</f>
        <v>1.038961038961039E-2</v>
      </c>
      <c r="AN104" s="58">
        <f>SUM(R85*S85)/(Q99*K203)*100%</f>
        <v>8.1081081081081086E-3</v>
      </c>
      <c r="AO104" s="58">
        <f>SUM(T85*U85)/(Q99*L203)*100%</f>
        <v>2.7397260273972601E-2</v>
      </c>
      <c r="AP104" s="58">
        <f>SUM(V85*W85)/(Q99*M203)*100%</f>
        <v>1.0666666666666666E-2</v>
      </c>
      <c r="AQ104" s="58">
        <f>SUM(X85*Y85)/(Q99*N203)*100%</f>
        <v>1.7142857142857144E-2</v>
      </c>
      <c r="AR104" s="58">
        <f>SUM(Z85*AA85)/(Q99*O203)*100%</f>
        <v>1.0810810810810811E-2</v>
      </c>
      <c r="AS104" s="58">
        <f t="shared" ref="AS104:AS111" si="25">SUM(AG104:AR104)</f>
        <v>0.18149139885618454</v>
      </c>
      <c r="AT104" s="58">
        <f t="shared" si="24"/>
        <v>1.5124283238015379E-2</v>
      </c>
    </row>
    <row r="105" spans="1:46" ht="15.5" x14ac:dyDescent="0.3">
      <c r="A105" s="68"/>
      <c r="B105" s="68"/>
      <c r="C105" s="7" t="s">
        <v>20</v>
      </c>
      <c r="D105" s="6">
        <v>21</v>
      </c>
      <c r="E105" s="6">
        <v>20</v>
      </c>
      <c r="F105" s="6">
        <v>18</v>
      </c>
      <c r="G105" s="6">
        <v>19</v>
      </c>
      <c r="H105" s="6">
        <v>16</v>
      </c>
      <c r="I105" s="6">
        <v>13</v>
      </c>
      <c r="J105" s="6">
        <v>14</v>
      </c>
      <c r="K105" s="6">
        <v>17</v>
      </c>
      <c r="L105" s="6">
        <v>20</v>
      </c>
      <c r="M105" s="6">
        <v>16</v>
      </c>
      <c r="N105" s="6">
        <v>15</v>
      </c>
      <c r="O105" s="6">
        <v>14</v>
      </c>
      <c r="AD105" s="71"/>
      <c r="AE105" s="71"/>
      <c r="AF105" s="1" t="s">
        <v>15</v>
      </c>
      <c r="AG105" s="58">
        <f>SUM(D86*E86)/(Q99*D204)*100%</f>
        <v>8.1081081081081086E-3</v>
      </c>
      <c r="AH105" s="58">
        <f>SUM(F86*G86)/(Q99*E204)*100%</f>
        <v>1.0666666666666666E-2</v>
      </c>
      <c r="AI105" s="58">
        <f>SUM(H86*I86)/(Q99*F204)*100%</f>
        <v>1.643835616438356E-2</v>
      </c>
      <c r="AJ105" s="58">
        <f>SUM(J86*K86)/(Q99*G204)*100%</f>
        <v>1.3157894736842105E-2</v>
      </c>
      <c r="AK105" s="58">
        <f>SUM(L86*M86)/(Q99*H204)*100%</f>
        <v>8.4507042253521118E-3</v>
      </c>
      <c r="AL105" s="58">
        <f>SUM(N86*O86)/(Q99*I204)*100%</f>
        <v>1.1428571428571429E-2</v>
      </c>
      <c r="AM105" s="58">
        <f>SUM(P86*Q86)/(Q99*J204)*100%</f>
        <v>1.6216216216216217E-2</v>
      </c>
      <c r="AN105" s="58">
        <f>SUM(R86*S86)/(Q99*K204)*100%</f>
        <v>1.0526315789473684E-2</v>
      </c>
      <c r="AO105" s="58">
        <f>SUM(T86*U86)/(Q99*L204)*100%</f>
        <v>7.6923076923076927E-3</v>
      </c>
      <c r="AP105" s="58">
        <f>SUM(V86*W86)/(Q99*M204)*100%</f>
        <v>2.5000000000000001E-2</v>
      </c>
      <c r="AQ105" s="58">
        <f>SUM(X86*Y86)/(Q99*N204)*100%</f>
        <v>1.0126582278481013E-2</v>
      </c>
      <c r="AR105" s="58">
        <f>SUM(Z86*AA86)/(Q99*O204)*100%</f>
        <v>5.8823529411764705E-3</v>
      </c>
      <c r="AS105" s="58">
        <f t="shared" si="25"/>
        <v>0.14369407624757907</v>
      </c>
      <c r="AT105" s="58">
        <f t="shared" si="24"/>
        <v>1.1974506353964923E-2</v>
      </c>
    </row>
    <row r="106" spans="1:46" ht="15.5" x14ac:dyDescent="0.3">
      <c r="A106" s="69"/>
      <c r="B106" s="69"/>
      <c r="C106" s="7" t="s">
        <v>21</v>
      </c>
      <c r="D106" s="6">
        <v>20</v>
      </c>
      <c r="E106" s="6">
        <v>26</v>
      </c>
      <c r="F106" s="6">
        <v>14</v>
      </c>
      <c r="G106" s="6">
        <v>21</v>
      </c>
      <c r="H106" s="6">
        <v>15</v>
      </c>
      <c r="I106" s="6">
        <v>12</v>
      </c>
      <c r="J106" s="6">
        <v>17</v>
      </c>
      <c r="K106" s="6">
        <v>18</v>
      </c>
      <c r="L106" s="6">
        <v>30</v>
      </c>
      <c r="M106" s="6">
        <v>18</v>
      </c>
      <c r="N106" s="6">
        <v>18</v>
      </c>
      <c r="O106" s="6">
        <v>22</v>
      </c>
      <c r="AD106" s="71"/>
      <c r="AE106" s="71"/>
      <c r="AF106" s="1" t="s">
        <v>16</v>
      </c>
      <c r="AG106" s="58">
        <f>SUM(D87*E87)/(Q99*D205)*100%</f>
        <v>2.1333333333333333E-2</v>
      </c>
      <c r="AH106" s="58">
        <f>SUM(F87*G87)/(Q99*E205)*100%</f>
        <v>1.9718309859154931E-2</v>
      </c>
      <c r="AI106" s="58">
        <f>SUM(H87*I87)/(Q99*F205)*100%</f>
        <v>4.4444444444444446E-2</v>
      </c>
      <c r="AJ106" s="58">
        <f>SUM(J87*K87)/(Q99*G205)*100%</f>
        <v>2.1917808219178082E-2</v>
      </c>
      <c r="AK106" s="58">
        <f>SUM(L87*M87)/(Q99*H205)*100%</f>
        <v>2.2222222222222223E-2</v>
      </c>
      <c r="AL106" s="58">
        <f>SUM(N87*O87)/(Q99*I205)*100%</f>
        <v>1.4285714285714285E-2</v>
      </c>
      <c r="AM106" s="58">
        <f>SUM(P87*Q87)/(Q99*J205)*100%</f>
        <v>1.3333333333333334E-2</v>
      </c>
      <c r="AN106" s="58">
        <f>SUM(R87*S87)/(Q99*K205)*100%</f>
        <v>3.5897435897435895E-2</v>
      </c>
      <c r="AO106" s="58">
        <f>SUM(T87*U87)/(Q99*L205)*100%</f>
        <v>4.7457627118644069E-2</v>
      </c>
      <c r="AP106" s="58">
        <f>SUM(V87*W87)/(Q99*M205)*100%</f>
        <v>2.1052631578947368E-2</v>
      </c>
      <c r="AQ106" s="58">
        <f>SUM(X87*Y87)/(Q99*N205)*100%</f>
        <v>2.368421052631579E-2</v>
      </c>
      <c r="AR106" s="58">
        <f>SUM(Z87*AA87)/(Q99*O205)*100%</f>
        <v>3.5897435897435895E-2</v>
      </c>
      <c r="AS106" s="58">
        <f t="shared" si="25"/>
        <v>0.32124450671615962</v>
      </c>
      <c r="AT106" s="58">
        <f t="shared" si="24"/>
        <v>2.6770375559679968E-2</v>
      </c>
    </row>
    <row r="107" spans="1:46" ht="15.5" x14ac:dyDescent="0.3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AD107" s="71"/>
      <c r="AE107" s="71"/>
      <c r="AF107" s="1" t="s">
        <v>17</v>
      </c>
      <c r="AG107" s="58">
        <f>SUM(D88*E88)/(Q99*D206)*100%</f>
        <v>1.6666666666666666E-2</v>
      </c>
      <c r="AH107" s="58">
        <f>SUM(F88*G88)/(Q99*E206)*100%</f>
        <v>2.2222222222222223E-2</v>
      </c>
      <c r="AI107" s="58">
        <f>SUM(H88*I88)/(Q99*F206)*100%</f>
        <v>4.507042253521127E-2</v>
      </c>
      <c r="AJ107" s="58">
        <f>SUM(J88*K88)/(Q99*G206)*100%</f>
        <v>2.368421052631579E-2</v>
      </c>
      <c r="AK107" s="58">
        <f>SUM(L88*M88)/(Q99*H206)*100%</f>
        <v>1.7910447761194031E-2</v>
      </c>
      <c r="AL107" s="58">
        <f>SUM(N88*O88)/(Q99*I206)*100%</f>
        <v>2.4242424242424242E-2</v>
      </c>
      <c r="AM107" s="58">
        <f>SUM(P88*Q88)/(Q99*J206)*100%</f>
        <v>3.1578947368421054E-2</v>
      </c>
      <c r="AN107" s="58">
        <f>SUM(R88*S88)/(Q99*K206)*100%</f>
        <v>4.7457627118644069E-2</v>
      </c>
      <c r="AO107" s="58">
        <f>SUM(T88*U88)/(Q99*L206)*100%</f>
        <v>2.5454545454545455E-2</v>
      </c>
      <c r="AP107" s="58">
        <f>SUM(V88*W88)/(Q99*M206)*100%</f>
        <v>4.2857142857142858E-2</v>
      </c>
      <c r="AQ107" s="58">
        <f>SUM(X88*Y88)/(Q99*N206)*100%</f>
        <v>2.4137931034482758E-2</v>
      </c>
      <c r="AR107" s="58">
        <f>SUM(Z88*AA88)/(Q99*O206)*100%</f>
        <v>1.7142857142857144E-2</v>
      </c>
      <c r="AS107" s="58">
        <f t="shared" si="25"/>
        <v>0.33842544493012755</v>
      </c>
      <c r="AT107" s="58">
        <f t="shared" si="24"/>
        <v>2.8202120410843964E-2</v>
      </c>
    </row>
    <row r="108" spans="1:46" ht="15.5" x14ac:dyDescent="0.3">
      <c r="A108" s="9" t="s">
        <v>29</v>
      </c>
      <c r="B108" s="9" t="s">
        <v>1</v>
      </c>
      <c r="C108" s="79" t="s">
        <v>2</v>
      </c>
      <c r="D108" s="74" t="s">
        <v>3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AD108" s="71"/>
      <c r="AE108" s="71"/>
      <c r="AF108" s="1" t="s">
        <v>18</v>
      </c>
      <c r="AG108" s="58">
        <f>SUM(D89*E89)/(Q99*D207)*100%</f>
        <v>4.0579710144927533E-2</v>
      </c>
      <c r="AH108" s="58">
        <f>SUM(F89*G89)/(Q99*E207)*100%</f>
        <v>3.0303030303030304E-2</v>
      </c>
      <c r="AI108" s="58">
        <f>SUM(H89*I89)/(Q99*F207)*100%</f>
        <v>2.0588235294117647E-2</v>
      </c>
      <c r="AJ108" s="58">
        <f>SUM(J89*K89)/(Q99*G207)*100%</f>
        <v>3.5294117647058823E-2</v>
      </c>
      <c r="AK108" s="58">
        <f>SUM(L89*M89)/(Q99*H207)*100%</f>
        <v>1.3186813186813187E-2</v>
      </c>
      <c r="AL108" s="58">
        <f>SUM(N89*O89)/(Q99*I207)*100%</f>
        <v>0.04</v>
      </c>
      <c r="AM108" s="58">
        <f>SUM(P89*Q89)/(Q99*J207)*100%</f>
        <v>3.4782608695652174E-2</v>
      </c>
      <c r="AN108" s="58">
        <f>SUM(R89*S89)/(Q99*K207)*100%</f>
        <v>1.6901408450704224E-2</v>
      </c>
      <c r="AO108" s="58">
        <f>SUM(T89*U89)/(Q99*L207)*100%</f>
        <v>6.1538461538461542E-2</v>
      </c>
      <c r="AP108" s="58">
        <f>SUM(V89*W89)/(Q99*M207)*100%</f>
        <v>2.1428571428571429E-2</v>
      </c>
      <c r="AQ108" s="58">
        <f>SUM(X89*Y89)/(Q99*N207)*100%</f>
        <v>2.1428571428571429E-2</v>
      </c>
      <c r="AR108" s="58">
        <f>SUM(Z89*AA89)/(Q99*O207)*100%</f>
        <v>4.7457627118644069E-2</v>
      </c>
      <c r="AS108" s="58">
        <f t="shared" si="25"/>
        <v>0.38348915523655236</v>
      </c>
      <c r="AT108" s="58">
        <f t="shared" si="24"/>
        <v>3.1957429603046032E-2</v>
      </c>
    </row>
    <row r="109" spans="1:46" ht="15.5" x14ac:dyDescent="0.3">
      <c r="A109" s="67">
        <v>1</v>
      </c>
      <c r="B109" s="67" t="s">
        <v>32</v>
      </c>
      <c r="C109" s="79"/>
      <c r="D109" s="74" t="s">
        <v>4</v>
      </c>
      <c r="E109" s="74"/>
      <c r="F109" s="74"/>
      <c r="G109" s="74"/>
      <c r="H109" s="74" t="s">
        <v>11</v>
      </c>
      <c r="I109" s="74"/>
      <c r="J109" s="74"/>
      <c r="K109" s="74"/>
      <c r="L109" s="74" t="s">
        <v>12</v>
      </c>
      <c r="M109" s="74"/>
      <c r="N109" s="74"/>
      <c r="O109" s="74"/>
      <c r="AD109" s="71"/>
      <c r="AE109" s="71"/>
      <c r="AF109" s="1" t="s">
        <v>19</v>
      </c>
      <c r="AG109" s="58">
        <f>SUM(D90*E90)/(Q99*D208)*100%</f>
        <v>1.7857142857142857E-3</v>
      </c>
      <c r="AH109" s="58">
        <f>SUM(F90*G90)/(Q99*E208)*100%</f>
        <v>3.5398230088495575E-3</v>
      </c>
      <c r="AI109" s="58">
        <f>SUM(H90*I90)/(Q99*F208)*100%</f>
        <v>0</v>
      </c>
      <c r="AJ109" s="58">
        <f>SUM(J90*K90)/(Q99*G208)*100%</f>
        <v>4.4943820224719105E-3</v>
      </c>
      <c r="AK109" s="58">
        <f>SUM(L90*M90)/(Q99*H208)*100%</f>
        <v>5.0000000000000001E-3</v>
      </c>
      <c r="AL109" s="58">
        <f>SUM(N90*O90)/(Q99*I208)*100%</f>
        <v>4.1666666666666666E-3</v>
      </c>
      <c r="AM109" s="58">
        <f>SUM(P90*Q90)/(Q99*J208)*100%</f>
        <v>5.3571428571428572E-3</v>
      </c>
      <c r="AN109" s="58">
        <f>SUM(R90*S90)/(Q99*K208)*100%</f>
        <v>7.2072072072072073E-3</v>
      </c>
      <c r="AO109" s="58">
        <f>SUM(T90*U90)/(Q99*L208)*100%</f>
        <v>3.9603960396039604E-3</v>
      </c>
      <c r="AP109" s="58">
        <f>SUM(V90*W90)/(Q99*M208)*100%</f>
        <v>7.4766355140186919E-3</v>
      </c>
      <c r="AQ109" s="58">
        <f>SUM(X90*Y90)/(Q99*N208)*100%</f>
        <v>8.4210526315789472E-3</v>
      </c>
      <c r="AR109" s="58">
        <f>SUM(Z90*AA90)/(Q99*O208)*100%</f>
        <v>2.3255813953488372E-3</v>
      </c>
      <c r="AS109" s="58">
        <f t="shared" si="25"/>
        <v>5.373460162860292E-2</v>
      </c>
      <c r="AT109" s="58">
        <f t="shared" si="24"/>
        <v>4.4778834690502433E-3</v>
      </c>
    </row>
    <row r="110" spans="1:46" ht="15.5" x14ac:dyDescent="0.3">
      <c r="A110" s="68"/>
      <c r="B110" s="68"/>
      <c r="C110" s="79"/>
      <c r="D110" s="62" t="s">
        <v>5</v>
      </c>
      <c r="E110" s="62" t="s">
        <v>7</v>
      </c>
      <c r="F110" s="62" t="s">
        <v>8</v>
      </c>
      <c r="G110" s="62" t="s">
        <v>10</v>
      </c>
      <c r="H110" s="62" t="s">
        <v>5</v>
      </c>
      <c r="I110" s="62" t="s">
        <v>7</v>
      </c>
      <c r="J110" s="62" t="s">
        <v>8</v>
      </c>
      <c r="K110" s="62" t="s">
        <v>10</v>
      </c>
      <c r="L110" s="62" t="s">
        <v>5</v>
      </c>
      <c r="M110" s="62" t="s">
        <v>7</v>
      </c>
      <c r="N110" s="62" t="s">
        <v>8</v>
      </c>
      <c r="O110" s="62" t="s">
        <v>10</v>
      </c>
      <c r="AD110" s="71"/>
      <c r="AE110" s="71"/>
      <c r="AF110" s="1" t="s">
        <v>20</v>
      </c>
      <c r="AG110" s="58">
        <f>SUM(D91*E91)/(Q99*D209)*100%</f>
        <v>6.1538461538461538E-3</v>
      </c>
      <c r="AH110" s="58">
        <f>SUM(F91*G91)/(Q99*E209)*100%</f>
        <v>6.3492063492063492E-3</v>
      </c>
      <c r="AI110" s="58">
        <f>SUM(H91*I91)/(Q99*F209)*100%</f>
        <v>3.6363636363636364E-3</v>
      </c>
      <c r="AJ110" s="58">
        <f>SUM(J91*K91)/(Q99*G209)*100%</f>
        <v>2.0408163265306124E-3</v>
      </c>
      <c r="AK110" s="58">
        <f>SUM(L91*M91)/(Q99*H209)*100%</f>
        <v>0</v>
      </c>
      <c r="AL110" s="58">
        <f>SUM(N91*O91)/(Q99*I209)*100%</f>
        <v>0</v>
      </c>
      <c r="AM110" s="58">
        <f>SUM(P91*Q91)/(Q99*J209)*100%</f>
        <v>0</v>
      </c>
      <c r="AN110" s="58">
        <f>SUM(R91*S91)/(Q99*K209)*100%</f>
        <v>0</v>
      </c>
      <c r="AO110" s="58">
        <f>SUM(T91*U91)/(Q99*L209)*100%</f>
        <v>2E-3</v>
      </c>
      <c r="AP110" s="58">
        <f>SUM(V91*W91)/(Q99*M209)*100%</f>
        <v>4.4943820224719105E-3</v>
      </c>
      <c r="AQ110" s="58">
        <f>SUM(X91*Y91)/(Q99*N209)*100%</f>
        <v>3.9215686274509803E-3</v>
      </c>
      <c r="AR110" s="58">
        <f>SUM(Z91*AA91)/(Q99*O209)*100%</f>
        <v>9.876543209876543E-3</v>
      </c>
      <c r="AS110" s="58">
        <f t="shared" si="25"/>
        <v>3.8472726325746186E-2</v>
      </c>
      <c r="AT110" s="58">
        <f t="shared" si="24"/>
        <v>3.2060605271455153E-3</v>
      </c>
    </row>
    <row r="111" spans="1:46" ht="15.5" x14ac:dyDescent="0.3">
      <c r="A111" s="68"/>
      <c r="B111" s="68"/>
      <c r="C111" s="7" t="s">
        <v>13</v>
      </c>
      <c r="D111" s="6">
        <v>32</v>
      </c>
      <c r="E111" s="6">
        <v>32</v>
      </c>
      <c r="F111" s="6">
        <v>49</v>
      </c>
      <c r="G111" s="6">
        <v>47</v>
      </c>
      <c r="H111" s="6">
        <v>15</v>
      </c>
      <c r="I111" s="6">
        <v>40</v>
      </c>
      <c r="J111" s="6">
        <v>29</v>
      </c>
      <c r="K111" s="6">
        <v>39</v>
      </c>
      <c r="L111" s="6">
        <v>34</v>
      </c>
      <c r="M111" s="6">
        <v>47</v>
      </c>
      <c r="N111" s="6">
        <v>31</v>
      </c>
      <c r="O111" s="6">
        <v>40</v>
      </c>
      <c r="AD111" s="71"/>
      <c r="AE111" s="71"/>
      <c r="AF111" s="1" t="s">
        <v>21</v>
      </c>
      <c r="AG111" s="58">
        <f>SUM(D92*E92)/(Q99*D210)*100%</f>
        <v>8.5714285714285719E-3</v>
      </c>
      <c r="AH111" s="58">
        <f>SUM(F92*G92)/(Q99*E210)*100%</f>
        <v>4.2105263157894736E-3</v>
      </c>
      <c r="AI111" s="58">
        <f>SUM(H92*I92)/(Q99*F210)*100%</f>
        <v>3.3898305084745762E-3</v>
      </c>
      <c r="AJ111" s="58">
        <f>SUM(J92*K92)/(Q99*G210)*100%</f>
        <v>7.5471698113207548E-3</v>
      </c>
      <c r="AK111" s="58">
        <f>SUM(L92*M92)/(Q99*H210)*100%</f>
        <v>5.454545454545455E-3</v>
      </c>
      <c r="AL111" s="58">
        <f>SUM(N92*O92)/(Q99*I210)*100%</f>
        <v>8.1081081081081086E-3</v>
      </c>
      <c r="AM111" s="58">
        <f>SUM(P92*Q92)/(Q99*J210)*100%</f>
        <v>0</v>
      </c>
      <c r="AN111" s="58">
        <f>SUM(R92*S92)/(Q99*K210)*100%</f>
        <v>0</v>
      </c>
      <c r="AO111" s="58">
        <f>SUM(T92*U92)/(Q99*L210)*100%</f>
        <v>7.3394495412844041E-3</v>
      </c>
      <c r="AP111" s="58">
        <f>SUM(V92*W92)/(Q99*M210)*100%</f>
        <v>1.2500000000000001E-2</v>
      </c>
      <c r="AQ111" s="58">
        <f>SUM(X92*Y92)/(Q99*N210)*100%</f>
        <v>0</v>
      </c>
      <c r="AR111" s="58">
        <f>SUM(Z92*AA92)/(Q99*O210)*100%</f>
        <v>2.352941176470588E-3</v>
      </c>
      <c r="AS111" s="58">
        <f t="shared" si="25"/>
        <v>5.9473999487421936E-2</v>
      </c>
      <c r="AT111" s="58">
        <f t="shared" si="24"/>
        <v>4.9561666239518283E-3</v>
      </c>
    </row>
    <row r="112" spans="1:46" ht="15.5" x14ac:dyDescent="0.3">
      <c r="A112" s="68"/>
      <c r="B112" s="68"/>
      <c r="C112" s="7" t="s">
        <v>14</v>
      </c>
      <c r="D112" s="54">
        <v>20</v>
      </c>
      <c r="E112" s="54">
        <v>22</v>
      </c>
      <c r="F112" s="54">
        <v>26</v>
      </c>
      <c r="G112" s="54">
        <v>32</v>
      </c>
      <c r="H112" s="54">
        <v>24</v>
      </c>
      <c r="I112" s="54">
        <v>22</v>
      </c>
      <c r="J112" s="54">
        <v>25</v>
      </c>
      <c r="K112" s="54">
        <v>24</v>
      </c>
      <c r="L112" s="54">
        <v>28</v>
      </c>
      <c r="M112" s="54">
        <v>30</v>
      </c>
      <c r="N112" s="54">
        <v>28</v>
      </c>
      <c r="O112" s="54">
        <v>26</v>
      </c>
      <c r="AD112" s="71"/>
      <c r="AE112" s="71"/>
      <c r="AF112" s="1" t="s">
        <v>48</v>
      </c>
      <c r="AG112" s="58">
        <f>SUM(AG103:AG111)</f>
        <v>0.12986547393069131</v>
      </c>
      <c r="AH112" s="58">
        <f t="shared" ref="AH112:AR112" si="26">SUM(AH103:AH111)</f>
        <v>0.11900369644485863</v>
      </c>
      <c r="AI112" s="58">
        <f t="shared" si="26"/>
        <v>0.16102249658956327</v>
      </c>
      <c r="AJ112" s="58">
        <f t="shared" si="26"/>
        <v>0.11864825088710729</v>
      </c>
      <c r="AK112" s="58">
        <f t="shared" si="26"/>
        <v>0.10244695507234924</v>
      </c>
      <c r="AL112" s="58">
        <f t="shared" si="26"/>
        <v>0.12065253736306368</v>
      </c>
      <c r="AM112" s="58">
        <f t="shared" si="26"/>
        <v>0.12647267367519086</v>
      </c>
      <c r="AN112" s="58">
        <f t="shared" si="26"/>
        <v>0.13165365812712876</v>
      </c>
      <c r="AO112" s="58">
        <f t="shared" si="26"/>
        <v>0.18803485285362492</v>
      </c>
      <c r="AP112" s="58">
        <f t="shared" si="26"/>
        <v>0.1481426967344856</v>
      </c>
      <c r="AQ112" s="58">
        <f t="shared" si="26"/>
        <v>0.10886277366973805</v>
      </c>
      <c r="AR112" s="58">
        <f t="shared" si="26"/>
        <v>0.13421528549508949</v>
      </c>
      <c r="AS112" s="58">
        <f>SUM(AS103:AS111)</f>
        <v>1.589021350842891</v>
      </c>
      <c r="AT112" s="58"/>
    </row>
    <row r="113" spans="1:46" ht="15.5" x14ac:dyDescent="0.3">
      <c r="A113" s="68"/>
      <c r="B113" s="68"/>
      <c r="C113" s="7" t="s">
        <v>15</v>
      </c>
      <c r="D113" s="54">
        <v>23</v>
      </c>
      <c r="E113" s="54">
        <v>24</v>
      </c>
      <c r="F113" s="54">
        <v>24</v>
      </c>
      <c r="G113" s="54">
        <v>26</v>
      </c>
      <c r="H113" s="54">
        <v>30</v>
      </c>
      <c r="I113" s="54">
        <v>29</v>
      </c>
      <c r="J113" s="54">
        <v>27</v>
      </c>
      <c r="K113" s="54">
        <v>29</v>
      </c>
      <c r="L113" s="54">
        <v>25</v>
      </c>
      <c r="M113" s="54">
        <v>26</v>
      </c>
      <c r="N113" s="54">
        <v>31</v>
      </c>
      <c r="O113" s="54">
        <v>38</v>
      </c>
      <c r="AD113" s="72"/>
      <c r="AE113" s="72"/>
      <c r="AF113" s="2" t="s">
        <v>47</v>
      </c>
      <c r="AG113" s="58">
        <f t="shared" ref="AG113:AR113" si="27">AVERAGE(AG103:AG111)</f>
        <v>1.4429497103410146E-2</v>
      </c>
      <c r="AH113" s="58">
        <f t="shared" si="27"/>
        <v>1.3222632938317625E-2</v>
      </c>
      <c r="AI113" s="58">
        <f t="shared" si="27"/>
        <v>1.7891388509951475E-2</v>
      </c>
      <c r="AJ113" s="58">
        <f t="shared" si="27"/>
        <v>1.3183138987456365E-2</v>
      </c>
      <c r="AK113" s="58">
        <f t="shared" si="27"/>
        <v>1.1382995008038806E-2</v>
      </c>
      <c r="AL113" s="58">
        <f t="shared" si="27"/>
        <v>1.3405837484784853E-2</v>
      </c>
      <c r="AM113" s="58">
        <f t="shared" si="27"/>
        <v>1.4052519297243429E-2</v>
      </c>
      <c r="AN113" s="58">
        <f t="shared" si="27"/>
        <v>1.462818423634764E-2</v>
      </c>
      <c r="AO113" s="58">
        <f t="shared" si="27"/>
        <v>2.0892761428180546E-2</v>
      </c>
      <c r="AP113" s="58">
        <f t="shared" si="27"/>
        <v>1.6460299637165068E-2</v>
      </c>
      <c r="AQ113" s="58">
        <f t="shared" si="27"/>
        <v>1.2095863741082007E-2</v>
      </c>
      <c r="AR113" s="58">
        <f t="shared" si="27"/>
        <v>1.4912809499454387E-2</v>
      </c>
      <c r="AS113" s="58"/>
      <c r="AT113" s="58"/>
    </row>
    <row r="114" spans="1:46" ht="15.5" x14ac:dyDescent="0.3">
      <c r="A114" s="68"/>
      <c r="B114" s="68"/>
      <c r="C114" s="7" t="s">
        <v>16</v>
      </c>
      <c r="D114" s="6">
        <v>25</v>
      </c>
      <c r="E114" s="6">
        <v>17</v>
      </c>
      <c r="F114" s="6">
        <v>16</v>
      </c>
      <c r="G114" s="6">
        <v>33</v>
      </c>
      <c r="H114" s="6">
        <v>34</v>
      </c>
      <c r="I114" s="6">
        <v>49</v>
      </c>
      <c r="J114" s="6">
        <v>36</v>
      </c>
      <c r="K114" s="6">
        <v>40</v>
      </c>
      <c r="L114" s="6">
        <v>40</v>
      </c>
      <c r="M114" s="6">
        <v>25</v>
      </c>
      <c r="N114" s="6">
        <v>34</v>
      </c>
      <c r="O114" s="6">
        <v>27</v>
      </c>
    </row>
    <row r="115" spans="1:46" ht="15.5" x14ac:dyDescent="0.3">
      <c r="A115" s="68"/>
      <c r="B115" s="68"/>
      <c r="C115" s="7" t="s">
        <v>17</v>
      </c>
      <c r="D115" s="6">
        <v>33</v>
      </c>
      <c r="E115" s="6">
        <v>27</v>
      </c>
      <c r="F115" s="6">
        <v>42</v>
      </c>
      <c r="G115" s="6">
        <v>35</v>
      </c>
      <c r="H115" s="6">
        <v>38</v>
      </c>
      <c r="I115" s="6">
        <v>45</v>
      </c>
      <c r="J115" s="6">
        <v>33</v>
      </c>
      <c r="K115" s="6">
        <v>42</v>
      </c>
      <c r="L115" s="6">
        <v>33</v>
      </c>
      <c r="M115" s="6">
        <v>37</v>
      </c>
      <c r="N115" s="6">
        <v>24</v>
      </c>
      <c r="O115" s="6">
        <v>30</v>
      </c>
    </row>
    <row r="116" spans="1:46" ht="15.5" x14ac:dyDescent="0.3">
      <c r="A116" s="68"/>
      <c r="B116" s="68"/>
      <c r="C116" s="7" t="s">
        <v>18</v>
      </c>
      <c r="D116" s="6">
        <v>23</v>
      </c>
      <c r="E116" s="6">
        <v>28</v>
      </c>
      <c r="F116" s="6">
        <v>33</v>
      </c>
      <c r="G116" s="6">
        <v>35</v>
      </c>
      <c r="H116" s="6">
        <v>41</v>
      </c>
      <c r="I116" s="6">
        <v>38</v>
      </c>
      <c r="J116" s="6">
        <v>39</v>
      </c>
      <c r="K116" s="6">
        <v>40</v>
      </c>
      <c r="L116" s="6">
        <v>25</v>
      </c>
      <c r="M116" s="6">
        <v>29</v>
      </c>
      <c r="N116" s="6">
        <v>32</v>
      </c>
      <c r="O116" s="6">
        <v>29</v>
      </c>
    </row>
    <row r="117" spans="1:46" ht="15.5" x14ac:dyDescent="0.3">
      <c r="A117" s="68"/>
      <c r="B117" s="68"/>
      <c r="C117" s="7" t="s">
        <v>19</v>
      </c>
      <c r="D117" s="6">
        <v>35</v>
      </c>
      <c r="E117" s="6">
        <v>25</v>
      </c>
      <c r="F117" s="6">
        <v>31</v>
      </c>
      <c r="G117" s="6">
        <v>42</v>
      </c>
      <c r="H117" s="6">
        <v>21</v>
      </c>
      <c r="I117" s="6">
        <v>30</v>
      </c>
      <c r="J117" s="6">
        <v>37</v>
      </c>
      <c r="K117" s="6">
        <v>37</v>
      </c>
      <c r="L117" s="6">
        <v>45</v>
      </c>
      <c r="M117" s="6">
        <v>34</v>
      </c>
      <c r="N117" s="6">
        <v>30</v>
      </c>
      <c r="O117" s="6">
        <v>27</v>
      </c>
    </row>
    <row r="118" spans="1:46" ht="15.5" x14ac:dyDescent="0.3">
      <c r="A118" s="68"/>
      <c r="B118" s="68"/>
      <c r="C118" s="7" t="s">
        <v>20</v>
      </c>
      <c r="D118" s="6">
        <v>42</v>
      </c>
      <c r="E118" s="6">
        <v>31</v>
      </c>
      <c r="F118" s="6">
        <v>35</v>
      </c>
      <c r="G118" s="6">
        <v>38</v>
      </c>
      <c r="H118" s="6">
        <v>38</v>
      </c>
      <c r="I118" s="6">
        <v>32</v>
      </c>
      <c r="J118" s="6">
        <v>25</v>
      </c>
      <c r="K118" s="6">
        <v>35</v>
      </c>
      <c r="L118" s="6">
        <v>28</v>
      </c>
      <c r="M118" s="6">
        <v>32</v>
      </c>
      <c r="N118" s="6">
        <v>31</v>
      </c>
      <c r="O118" s="6">
        <v>32</v>
      </c>
    </row>
    <row r="119" spans="1:46" ht="15.5" x14ac:dyDescent="0.3">
      <c r="A119" s="69"/>
      <c r="B119" s="69"/>
      <c r="C119" s="7" t="s">
        <v>21</v>
      </c>
      <c r="D119" s="6">
        <v>41</v>
      </c>
      <c r="E119" s="6">
        <v>37</v>
      </c>
      <c r="F119" s="6">
        <v>41</v>
      </c>
      <c r="G119" s="6">
        <v>49</v>
      </c>
      <c r="H119" s="6">
        <v>27</v>
      </c>
      <c r="I119" s="6">
        <v>31</v>
      </c>
      <c r="J119" s="6">
        <v>30</v>
      </c>
      <c r="K119" s="6">
        <v>39</v>
      </c>
      <c r="L119" s="6">
        <v>33</v>
      </c>
      <c r="M119" s="6">
        <v>41</v>
      </c>
      <c r="N119" s="6">
        <v>33</v>
      </c>
      <c r="O119" s="6">
        <v>35</v>
      </c>
    </row>
    <row r="120" spans="1:46" x14ac:dyDescent="0.3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</row>
    <row r="121" spans="1:46" x14ac:dyDescent="0.3">
      <c r="A121" s="9" t="s">
        <v>29</v>
      </c>
      <c r="B121" s="9" t="s">
        <v>1</v>
      </c>
      <c r="C121" s="79" t="s">
        <v>2</v>
      </c>
      <c r="D121" s="74" t="s">
        <v>3</v>
      </c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</row>
    <row r="122" spans="1:46" x14ac:dyDescent="0.3">
      <c r="A122" s="67">
        <v>1</v>
      </c>
      <c r="B122" s="67" t="s">
        <v>22</v>
      </c>
      <c r="C122" s="79"/>
      <c r="D122" s="74" t="s">
        <v>4</v>
      </c>
      <c r="E122" s="74"/>
      <c r="F122" s="74"/>
      <c r="G122" s="74"/>
      <c r="H122" s="74" t="s">
        <v>11</v>
      </c>
      <c r="I122" s="74"/>
      <c r="J122" s="74"/>
      <c r="K122" s="74"/>
      <c r="L122" s="74" t="s">
        <v>12</v>
      </c>
      <c r="M122" s="74"/>
      <c r="N122" s="74"/>
      <c r="O122" s="74"/>
    </row>
    <row r="123" spans="1:46" x14ac:dyDescent="0.3">
      <c r="A123" s="68"/>
      <c r="B123" s="68"/>
      <c r="C123" s="79"/>
      <c r="D123" s="54" t="s">
        <v>5</v>
      </c>
      <c r="E123" s="54" t="s">
        <v>7</v>
      </c>
      <c r="F123" s="54" t="s">
        <v>8</v>
      </c>
      <c r="G123" s="54" t="s">
        <v>10</v>
      </c>
      <c r="H123" s="54" t="s">
        <v>5</v>
      </c>
      <c r="I123" s="54" t="s">
        <v>7</v>
      </c>
      <c r="J123" s="54" t="s">
        <v>8</v>
      </c>
      <c r="K123" s="54" t="s">
        <v>10</v>
      </c>
      <c r="L123" s="54" t="s">
        <v>5</v>
      </c>
      <c r="M123" s="54" t="s">
        <v>7</v>
      </c>
      <c r="N123" s="54" t="s">
        <v>8</v>
      </c>
      <c r="O123" s="54" t="s">
        <v>10</v>
      </c>
    </row>
    <row r="124" spans="1:46" ht="15.5" x14ac:dyDescent="0.3">
      <c r="A124" s="68"/>
      <c r="B124" s="68"/>
      <c r="C124" s="6" t="s">
        <v>13</v>
      </c>
      <c r="D124" s="6">
        <v>53</v>
      </c>
      <c r="E124" s="6">
        <v>51</v>
      </c>
      <c r="F124" s="6">
        <v>60</v>
      </c>
      <c r="G124" s="6">
        <v>60</v>
      </c>
      <c r="H124" s="6">
        <v>17</v>
      </c>
      <c r="I124" s="6">
        <v>62</v>
      </c>
      <c r="J124" s="6">
        <v>48</v>
      </c>
      <c r="K124" s="6">
        <v>58</v>
      </c>
      <c r="L124" s="6">
        <v>45</v>
      </c>
      <c r="M124" s="6">
        <v>74</v>
      </c>
      <c r="N124" s="6">
        <v>45</v>
      </c>
      <c r="O124" s="6">
        <v>54</v>
      </c>
    </row>
    <row r="125" spans="1:46" ht="15.5" x14ac:dyDescent="0.3">
      <c r="A125" s="68"/>
      <c r="B125" s="68"/>
      <c r="C125" s="6" t="s">
        <v>14</v>
      </c>
      <c r="D125" s="54">
        <v>32</v>
      </c>
      <c r="E125" s="54">
        <v>38</v>
      </c>
      <c r="F125" s="54">
        <v>35</v>
      </c>
      <c r="G125" s="54">
        <v>40</v>
      </c>
      <c r="H125" s="54">
        <v>32</v>
      </c>
      <c r="I125" s="54">
        <v>35</v>
      </c>
      <c r="J125" s="54">
        <v>54</v>
      </c>
      <c r="K125" s="54">
        <v>32</v>
      </c>
      <c r="L125" s="54">
        <v>36</v>
      </c>
      <c r="M125" s="54">
        <v>34</v>
      </c>
      <c r="N125" s="54">
        <v>36</v>
      </c>
      <c r="O125" s="54">
        <v>36</v>
      </c>
    </row>
    <row r="126" spans="1:46" ht="15.5" x14ac:dyDescent="0.3">
      <c r="A126" s="68"/>
      <c r="B126" s="68"/>
      <c r="C126" s="6" t="s">
        <v>15</v>
      </c>
      <c r="D126" s="54">
        <v>31</v>
      </c>
      <c r="E126" s="54">
        <v>34</v>
      </c>
      <c r="F126" s="54">
        <v>36</v>
      </c>
      <c r="G126" s="54">
        <v>34</v>
      </c>
      <c r="H126" s="54">
        <v>37</v>
      </c>
      <c r="I126" s="54">
        <v>32</v>
      </c>
      <c r="J126" s="54">
        <v>35</v>
      </c>
      <c r="K126" s="54">
        <v>35</v>
      </c>
      <c r="L126" s="54">
        <v>38</v>
      </c>
      <c r="M126" s="54">
        <v>32</v>
      </c>
      <c r="N126" s="54">
        <v>33</v>
      </c>
      <c r="O126" s="54">
        <v>35</v>
      </c>
    </row>
    <row r="127" spans="1:46" ht="15.5" x14ac:dyDescent="0.3">
      <c r="A127" s="68"/>
      <c r="B127" s="68"/>
      <c r="C127" s="6" t="s">
        <v>16</v>
      </c>
      <c r="D127" s="6">
        <v>41</v>
      </c>
      <c r="E127" s="6">
        <v>30</v>
      </c>
      <c r="F127" s="6">
        <v>34</v>
      </c>
      <c r="G127" s="6">
        <v>30</v>
      </c>
      <c r="H127" s="6">
        <v>51</v>
      </c>
      <c r="I127" s="6">
        <v>41</v>
      </c>
      <c r="J127" s="6">
        <v>63</v>
      </c>
      <c r="K127" s="6">
        <v>64</v>
      </c>
      <c r="L127" s="6">
        <v>36</v>
      </c>
      <c r="M127" s="6">
        <v>20</v>
      </c>
      <c r="N127" s="6">
        <v>61</v>
      </c>
      <c r="O127" s="6">
        <v>34</v>
      </c>
    </row>
    <row r="128" spans="1:46" ht="15.5" x14ac:dyDescent="0.3">
      <c r="A128" s="68"/>
      <c r="B128" s="68"/>
      <c r="C128" s="6" t="s">
        <v>17</v>
      </c>
      <c r="D128" s="6">
        <v>37</v>
      </c>
      <c r="E128" s="6">
        <v>34</v>
      </c>
      <c r="F128" s="6">
        <v>38</v>
      </c>
      <c r="G128" s="6">
        <v>26</v>
      </c>
      <c r="H128" s="6">
        <v>39</v>
      </c>
      <c r="I128" s="6">
        <v>52</v>
      </c>
      <c r="J128" s="6">
        <v>44</v>
      </c>
      <c r="K128" s="6">
        <v>34</v>
      </c>
      <c r="L128" s="6">
        <v>34</v>
      </c>
      <c r="M128" s="6">
        <v>39</v>
      </c>
      <c r="N128" s="6">
        <v>42</v>
      </c>
      <c r="O128" s="6">
        <v>37</v>
      </c>
    </row>
    <row r="129" spans="1:15" ht="15.5" x14ac:dyDescent="0.3">
      <c r="A129" s="68"/>
      <c r="B129" s="68"/>
      <c r="C129" s="6" t="s">
        <v>18</v>
      </c>
      <c r="D129" s="6">
        <v>34</v>
      </c>
      <c r="E129" s="6">
        <v>20</v>
      </c>
      <c r="F129" s="6">
        <v>52</v>
      </c>
      <c r="G129" s="6">
        <v>31</v>
      </c>
      <c r="H129" s="6">
        <v>34</v>
      </c>
      <c r="I129" s="6">
        <v>47</v>
      </c>
      <c r="J129" s="6">
        <v>84</v>
      </c>
      <c r="K129" s="6">
        <v>43</v>
      </c>
      <c r="L129" s="6">
        <v>78</v>
      </c>
      <c r="M129" s="6">
        <v>66</v>
      </c>
      <c r="N129" s="6">
        <v>79</v>
      </c>
      <c r="O129" s="6">
        <v>69</v>
      </c>
    </row>
    <row r="130" spans="1:15" ht="15.5" x14ac:dyDescent="0.3">
      <c r="A130" s="68"/>
      <c r="B130" s="68"/>
      <c r="C130" s="6" t="s">
        <v>19</v>
      </c>
      <c r="D130" s="6">
        <v>36</v>
      </c>
      <c r="E130" s="6">
        <v>78</v>
      </c>
      <c r="F130" s="6">
        <v>66</v>
      </c>
      <c r="G130" s="6">
        <v>69</v>
      </c>
      <c r="H130" s="6">
        <v>56</v>
      </c>
      <c r="I130" s="6">
        <v>78</v>
      </c>
      <c r="J130" s="6">
        <v>40</v>
      </c>
      <c r="K130" s="6">
        <v>30</v>
      </c>
      <c r="L130" s="6">
        <v>48</v>
      </c>
      <c r="M130" s="6">
        <v>55</v>
      </c>
      <c r="N130" s="6">
        <v>68</v>
      </c>
      <c r="O130" s="6">
        <v>67</v>
      </c>
    </row>
    <row r="131" spans="1:15" ht="15.5" x14ac:dyDescent="0.3">
      <c r="A131" s="68"/>
      <c r="B131" s="68"/>
      <c r="C131" s="6" t="s">
        <v>20</v>
      </c>
      <c r="D131" s="6">
        <v>44</v>
      </c>
      <c r="E131" s="6">
        <v>54</v>
      </c>
      <c r="F131" s="6">
        <v>56</v>
      </c>
      <c r="G131" s="6">
        <v>52</v>
      </c>
      <c r="H131" s="6">
        <v>63</v>
      </c>
      <c r="I131" s="6">
        <v>58</v>
      </c>
      <c r="J131" s="6">
        <v>68</v>
      </c>
      <c r="K131" s="6">
        <v>53</v>
      </c>
      <c r="L131" s="6">
        <v>77</v>
      </c>
      <c r="M131" s="6">
        <v>60</v>
      </c>
      <c r="N131" s="6">
        <v>58</v>
      </c>
      <c r="O131" s="6">
        <v>69</v>
      </c>
    </row>
    <row r="132" spans="1:15" ht="15.5" x14ac:dyDescent="0.3">
      <c r="A132" s="69"/>
      <c r="B132" s="69"/>
      <c r="C132" s="6" t="s">
        <v>21</v>
      </c>
      <c r="D132" s="6">
        <v>44</v>
      </c>
      <c r="E132" s="6">
        <v>58</v>
      </c>
      <c r="F132" s="6">
        <v>68</v>
      </c>
      <c r="G132" s="6">
        <v>54</v>
      </c>
      <c r="H132" s="6">
        <v>77</v>
      </c>
      <c r="I132" s="6">
        <v>66</v>
      </c>
      <c r="J132" s="6">
        <v>54</v>
      </c>
      <c r="K132" s="6">
        <v>49</v>
      </c>
      <c r="L132" s="6">
        <v>67</v>
      </c>
      <c r="M132" s="6">
        <v>66</v>
      </c>
      <c r="N132" s="6">
        <v>64</v>
      </c>
      <c r="O132" s="6">
        <v>45</v>
      </c>
    </row>
    <row r="133" spans="1:15" x14ac:dyDescent="0.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</row>
    <row r="134" spans="1:15" x14ac:dyDescent="0.3">
      <c r="A134" s="9" t="s">
        <v>29</v>
      </c>
      <c r="B134" s="9" t="s">
        <v>1</v>
      </c>
      <c r="C134" s="79" t="s">
        <v>2</v>
      </c>
      <c r="D134" s="74" t="s">
        <v>3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</row>
    <row r="135" spans="1:15" x14ac:dyDescent="0.3">
      <c r="A135" s="67">
        <v>1</v>
      </c>
      <c r="B135" s="67" t="s">
        <v>23</v>
      </c>
      <c r="C135" s="79"/>
      <c r="D135" s="74" t="s">
        <v>4</v>
      </c>
      <c r="E135" s="74"/>
      <c r="F135" s="74"/>
      <c r="G135" s="74"/>
      <c r="H135" s="74" t="s">
        <v>11</v>
      </c>
      <c r="I135" s="74"/>
      <c r="J135" s="74"/>
      <c r="K135" s="74"/>
      <c r="L135" s="74" t="s">
        <v>12</v>
      </c>
      <c r="M135" s="74"/>
      <c r="N135" s="74"/>
      <c r="O135" s="74"/>
    </row>
    <row r="136" spans="1:15" x14ac:dyDescent="0.3">
      <c r="A136" s="68"/>
      <c r="B136" s="68"/>
      <c r="C136" s="79"/>
      <c r="D136" s="54" t="s">
        <v>5</v>
      </c>
      <c r="E136" s="54" t="s">
        <v>7</v>
      </c>
      <c r="F136" s="54" t="s">
        <v>8</v>
      </c>
      <c r="G136" s="54" t="s">
        <v>10</v>
      </c>
      <c r="H136" s="54" t="s">
        <v>5</v>
      </c>
      <c r="I136" s="54" t="s">
        <v>7</v>
      </c>
      <c r="J136" s="54" t="s">
        <v>8</v>
      </c>
      <c r="K136" s="54" t="s">
        <v>10</v>
      </c>
      <c r="L136" s="54" t="s">
        <v>5</v>
      </c>
      <c r="M136" s="54" t="s">
        <v>7</v>
      </c>
      <c r="N136" s="54" t="s">
        <v>8</v>
      </c>
      <c r="O136" s="54" t="s">
        <v>10</v>
      </c>
    </row>
    <row r="137" spans="1:15" ht="15.5" x14ac:dyDescent="0.3">
      <c r="A137" s="68"/>
      <c r="B137" s="68"/>
      <c r="C137" s="6" t="s">
        <v>13</v>
      </c>
      <c r="D137" s="6">
        <v>60</v>
      </c>
      <c r="E137" s="6">
        <v>32</v>
      </c>
      <c r="F137" s="6">
        <v>67</v>
      </c>
      <c r="G137" s="6">
        <v>63</v>
      </c>
      <c r="H137" s="6">
        <v>30</v>
      </c>
      <c r="I137" s="6">
        <v>73</v>
      </c>
      <c r="J137" s="6">
        <v>62</v>
      </c>
      <c r="K137" s="6">
        <v>43</v>
      </c>
      <c r="L137" s="6">
        <v>54</v>
      </c>
      <c r="M137" s="6">
        <v>75</v>
      </c>
      <c r="N137" s="6">
        <v>45</v>
      </c>
      <c r="O137" s="6">
        <v>79</v>
      </c>
    </row>
    <row r="138" spans="1:15" ht="15.5" x14ac:dyDescent="0.3">
      <c r="A138" s="68"/>
      <c r="B138" s="68"/>
      <c r="C138" s="6" t="s">
        <v>14</v>
      </c>
      <c r="D138" s="54">
        <v>40</v>
      </c>
      <c r="E138" s="54">
        <v>42</v>
      </c>
      <c r="F138" s="54">
        <v>40</v>
      </c>
      <c r="G138" s="54">
        <v>38</v>
      </c>
      <c r="H138" s="54">
        <v>41</v>
      </c>
      <c r="I138" s="54">
        <v>42</v>
      </c>
      <c r="J138" s="54">
        <v>40</v>
      </c>
      <c r="K138" s="54">
        <v>44</v>
      </c>
      <c r="L138" s="54">
        <v>42</v>
      </c>
      <c r="M138" s="54">
        <v>41</v>
      </c>
      <c r="N138" s="54">
        <v>39</v>
      </c>
      <c r="O138" s="54">
        <v>41</v>
      </c>
    </row>
    <row r="139" spans="1:15" ht="15.5" x14ac:dyDescent="0.3">
      <c r="A139" s="68"/>
      <c r="B139" s="68"/>
      <c r="C139" s="6" t="s">
        <v>15</v>
      </c>
      <c r="D139" s="54">
        <v>43</v>
      </c>
      <c r="E139" s="54">
        <v>45</v>
      </c>
      <c r="F139" s="54">
        <v>45</v>
      </c>
      <c r="G139" s="54">
        <v>46</v>
      </c>
      <c r="H139" s="54">
        <v>42</v>
      </c>
      <c r="I139" s="54">
        <v>47</v>
      </c>
      <c r="J139" s="54">
        <v>41</v>
      </c>
      <c r="K139" s="54">
        <v>40</v>
      </c>
      <c r="L139" s="54">
        <v>45</v>
      </c>
      <c r="M139" s="54">
        <v>43</v>
      </c>
      <c r="N139" s="54">
        <v>46</v>
      </c>
      <c r="O139" s="54">
        <v>40</v>
      </c>
    </row>
    <row r="140" spans="1:15" ht="15.5" x14ac:dyDescent="0.3">
      <c r="A140" s="68"/>
      <c r="B140" s="68"/>
      <c r="C140" s="6" t="s">
        <v>16</v>
      </c>
      <c r="D140" s="6">
        <v>49</v>
      </c>
      <c r="E140" s="6">
        <v>27</v>
      </c>
      <c r="F140" s="6">
        <v>51</v>
      </c>
      <c r="G140" s="6">
        <v>63</v>
      </c>
      <c r="H140" s="6">
        <v>72</v>
      </c>
      <c r="I140" s="6">
        <v>56</v>
      </c>
      <c r="J140" s="6">
        <v>42</v>
      </c>
      <c r="K140" s="6">
        <v>43</v>
      </c>
      <c r="L140" s="6">
        <v>60</v>
      </c>
      <c r="M140" s="6">
        <v>48</v>
      </c>
      <c r="N140" s="6">
        <v>29</v>
      </c>
      <c r="O140" s="6">
        <v>34</v>
      </c>
    </row>
    <row r="141" spans="1:15" ht="15.5" x14ac:dyDescent="0.3">
      <c r="A141" s="68"/>
      <c r="B141" s="68"/>
      <c r="C141" s="6" t="s">
        <v>17</v>
      </c>
      <c r="D141" s="6">
        <v>45</v>
      </c>
      <c r="E141" s="6">
        <v>48</v>
      </c>
      <c r="F141" s="6">
        <v>40</v>
      </c>
      <c r="G141" s="6">
        <v>23</v>
      </c>
      <c r="H141" s="6">
        <v>44</v>
      </c>
      <c r="I141" s="6">
        <v>43</v>
      </c>
      <c r="J141" s="6">
        <v>44</v>
      </c>
      <c r="K141" s="6">
        <v>49</v>
      </c>
      <c r="L141" s="6">
        <v>44</v>
      </c>
      <c r="M141" s="6">
        <v>48</v>
      </c>
      <c r="N141" s="6">
        <v>46</v>
      </c>
      <c r="O141" s="6">
        <v>39</v>
      </c>
    </row>
    <row r="142" spans="1:15" ht="15.5" x14ac:dyDescent="0.3">
      <c r="A142" s="68"/>
      <c r="B142" s="68"/>
      <c r="C142" s="6" t="s">
        <v>18</v>
      </c>
      <c r="D142" s="6">
        <v>41</v>
      </c>
      <c r="E142" s="6">
        <v>80</v>
      </c>
      <c r="F142" s="6">
        <v>42</v>
      </c>
      <c r="G142" s="6">
        <v>37</v>
      </c>
      <c r="H142" s="6">
        <v>44</v>
      </c>
      <c r="I142" s="6">
        <v>61</v>
      </c>
      <c r="J142" s="6">
        <v>46</v>
      </c>
      <c r="K142" s="6">
        <v>42</v>
      </c>
      <c r="L142" s="6">
        <v>81</v>
      </c>
      <c r="M142" s="6">
        <v>51</v>
      </c>
      <c r="N142" s="6">
        <v>73</v>
      </c>
      <c r="O142" s="6">
        <v>56</v>
      </c>
    </row>
    <row r="143" spans="1:15" ht="15.5" x14ac:dyDescent="0.3">
      <c r="A143" s="68"/>
      <c r="B143" s="68"/>
      <c r="C143" s="6" t="s">
        <v>19</v>
      </c>
      <c r="D143" s="6">
        <v>54</v>
      </c>
      <c r="E143" s="6">
        <v>89</v>
      </c>
      <c r="F143" s="6">
        <v>75</v>
      </c>
      <c r="G143" s="6">
        <v>63</v>
      </c>
      <c r="H143" s="6">
        <v>42</v>
      </c>
      <c r="I143" s="6">
        <v>79</v>
      </c>
      <c r="J143" s="6">
        <v>73</v>
      </c>
      <c r="K143" s="6">
        <v>86</v>
      </c>
      <c r="L143" s="6">
        <v>75</v>
      </c>
      <c r="M143" s="6">
        <v>70</v>
      </c>
      <c r="N143" s="6">
        <v>94</v>
      </c>
      <c r="O143" s="6">
        <v>74</v>
      </c>
    </row>
    <row r="144" spans="1:15" ht="15.5" x14ac:dyDescent="0.3">
      <c r="A144" s="68"/>
      <c r="B144" s="68"/>
      <c r="C144" s="6" t="s">
        <v>20</v>
      </c>
      <c r="D144" s="6">
        <v>58</v>
      </c>
      <c r="E144" s="6">
        <v>78</v>
      </c>
      <c r="F144" s="6">
        <v>73</v>
      </c>
      <c r="G144" s="6">
        <v>65</v>
      </c>
      <c r="H144" s="6">
        <v>49</v>
      </c>
      <c r="I144" s="6">
        <v>53</v>
      </c>
      <c r="J144" s="6">
        <v>80</v>
      </c>
      <c r="K144" s="6">
        <v>75</v>
      </c>
      <c r="L144" s="6">
        <v>111</v>
      </c>
      <c r="M144" s="6">
        <v>53</v>
      </c>
      <c r="N144" s="6">
        <v>111</v>
      </c>
      <c r="O144" s="6">
        <v>73</v>
      </c>
    </row>
    <row r="145" spans="1:15" ht="15.5" x14ac:dyDescent="0.3">
      <c r="A145" s="69"/>
      <c r="B145" s="69"/>
      <c r="C145" s="6" t="s">
        <v>21</v>
      </c>
      <c r="D145" s="6">
        <v>48</v>
      </c>
      <c r="E145" s="6">
        <v>63</v>
      </c>
      <c r="F145" s="6">
        <v>79</v>
      </c>
      <c r="G145" s="6">
        <v>75</v>
      </c>
      <c r="H145" s="6">
        <v>82</v>
      </c>
      <c r="I145" s="6">
        <v>74</v>
      </c>
      <c r="J145" s="6">
        <v>64</v>
      </c>
      <c r="K145" s="6">
        <v>74</v>
      </c>
      <c r="L145" s="6">
        <v>69</v>
      </c>
      <c r="M145" s="6">
        <v>49</v>
      </c>
      <c r="N145" s="6">
        <v>85</v>
      </c>
      <c r="O145" s="6">
        <v>87</v>
      </c>
    </row>
    <row r="146" spans="1:15" x14ac:dyDescent="0.3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</row>
    <row r="147" spans="1:15" x14ac:dyDescent="0.3">
      <c r="A147" s="9" t="s">
        <v>29</v>
      </c>
      <c r="B147" s="9" t="s">
        <v>1</v>
      </c>
      <c r="C147" s="79" t="s">
        <v>2</v>
      </c>
      <c r="D147" s="74" t="s">
        <v>3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</row>
    <row r="148" spans="1:15" x14ac:dyDescent="0.3">
      <c r="A148" s="67">
        <v>1</v>
      </c>
      <c r="B148" s="67" t="s">
        <v>24</v>
      </c>
      <c r="C148" s="79"/>
      <c r="D148" s="74" t="s">
        <v>4</v>
      </c>
      <c r="E148" s="74"/>
      <c r="F148" s="74"/>
      <c r="G148" s="74"/>
      <c r="H148" s="74" t="s">
        <v>11</v>
      </c>
      <c r="I148" s="74"/>
      <c r="J148" s="74"/>
      <c r="K148" s="74"/>
      <c r="L148" s="74" t="s">
        <v>12</v>
      </c>
      <c r="M148" s="74"/>
      <c r="N148" s="74"/>
      <c r="O148" s="74"/>
    </row>
    <row r="149" spans="1:15" x14ac:dyDescent="0.3">
      <c r="A149" s="68"/>
      <c r="B149" s="68"/>
      <c r="C149" s="79"/>
      <c r="D149" s="54" t="s">
        <v>5</v>
      </c>
      <c r="E149" s="54" t="s">
        <v>7</v>
      </c>
      <c r="F149" s="54" t="s">
        <v>8</v>
      </c>
      <c r="G149" s="54" t="s">
        <v>10</v>
      </c>
      <c r="H149" s="54" t="s">
        <v>5</v>
      </c>
      <c r="I149" s="54" t="s">
        <v>7</v>
      </c>
      <c r="J149" s="54" t="s">
        <v>8</v>
      </c>
      <c r="K149" s="54" t="s">
        <v>10</v>
      </c>
      <c r="L149" s="54" t="s">
        <v>5</v>
      </c>
      <c r="M149" s="54" t="s">
        <v>7</v>
      </c>
      <c r="N149" s="54" t="s">
        <v>8</v>
      </c>
      <c r="O149" s="54" t="s">
        <v>10</v>
      </c>
    </row>
    <row r="150" spans="1:15" ht="15.5" x14ac:dyDescent="0.3">
      <c r="A150" s="68"/>
      <c r="B150" s="68"/>
      <c r="C150" s="6" t="s">
        <v>13</v>
      </c>
      <c r="D150" s="6">
        <v>62</v>
      </c>
      <c r="E150" s="6">
        <v>46</v>
      </c>
      <c r="F150" s="6">
        <v>73</v>
      </c>
      <c r="G150" s="6">
        <v>62</v>
      </c>
      <c r="H150" s="6">
        <v>35</v>
      </c>
      <c r="I150" s="6">
        <v>77</v>
      </c>
      <c r="J150" s="6">
        <v>78</v>
      </c>
      <c r="K150" s="6">
        <v>67</v>
      </c>
      <c r="L150" s="6">
        <v>61</v>
      </c>
      <c r="M150" s="6">
        <v>73</v>
      </c>
      <c r="N150" s="6">
        <v>57</v>
      </c>
      <c r="O150" s="6">
        <v>74</v>
      </c>
    </row>
    <row r="151" spans="1:15" ht="15.5" x14ac:dyDescent="0.3">
      <c r="A151" s="68"/>
      <c r="B151" s="68"/>
      <c r="C151" s="6" t="s">
        <v>14</v>
      </c>
      <c r="D151" s="54">
        <v>51</v>
      </c>
      <c r="E151" s="54">
        <v>50</v>
      </c>
      <c r="F151" s="54">
        <v>52</v>
      </c>
      <c r="G151" s="54">
        <v>55</v>
      </c>
      <c r="H151" s="54">
        <v>53</v>
      </c>
      <c r="I151" s="54">
        <v>56</v>
      </c>
      <c r="J151" s="54">
        <v>49</v>
      </c>
      <c r="K151" s="54">
        <v>50</v>
      </c>
      <c r="L151" s="54">
        <v>51</v>
      </c>
      <c r="M151" s="54">
        <v>52</v>
      </c>
      <c r="N151" s="54">
        <v>55</v>
      </c>
      <c r="O151" s="54">
        <v>53</v>
      </c>
    </row>
    <row r="152" spans="1:15" ht="15.5" x14ac:dyDescent="0.3">
      <c r="A152" s="68"/>
      <c r="B152" s="68"/>
      <c r="C152" s="6" t="s">
        <v>15</v>
      </c>
      <c r="D152" s="54">
        <v>52</v>
      </c>
      <c r="E152" s="54">
        <v>50</v>
      </c>
      <c r="F152" s="54">
        <v>49</v>
      </c>
      <c r="G152" s="54">
        <v>48</v>
      </c>
      <c r="H152" s="54">
        <v>52</v>
      </c>
      <c r="I152" s="54">
        <v>51</v>
      </c>
      <c r="J152" s="54">
        <v>54</v>
      </c>
      <c r="K152" s="54">
        <v>56</v>
      </c>
      <c r="L152" s="54">
        <v>54</v>
      </c>
      <c r="M152" s="54">
        <v>50</v>
      </c>
      <c r="N152" s="54">
        <v>52</v>
      </c>
      <c r="O152" s="54">
        <v>53</v>
      </c>
    </row>
    <row r="153" spans="1:15" ht="15.5" x14ac:dyDescent="0.3">
      <c r="A153" s="68"/>
      <c r="B153" s="68"/>
      <c r="C153" s="6" t="s">
        <v>16</v>
      </c>
      <c r="D153" s="6">
        <v>62</v>
      </c>
      <c r="E153" s="6">
        <v>34</v>
      </c>
      <c r="F153" s="6">
        <v>46</v>
      </c>
      <c r="G153" s="6">
        <v>50</v>
      </c>
      <c r="H153" s="6">
        <v>64</v>
      </c>
      <c r="I153" s="6">
        <v>62</v>
      </c>
      <c r="J153" s="6">
        <v>54</v>
      </c>
      <c r="K153" s="6">
        <v>47</v>
      </c>
      <c r="L153" s="6">
        <v>24</v>
      </c>
      <c r="M153" s="6">
        <v>32</v>
      </c>
      <c r="N153" s="6">
        <v>50</v>
      </c>
      <c r="O153" s="6">
        <v>48</v>
      </c>
    </row>
    <row r="154" spans="1:15" ht="15.5" x14ac:dyDescent="0.3">
      <c r="A154" s="68"/>
      <c r="B154" s="68"/>
      <c r="C154" s="6" t="s">
        <v>17</v>
      </c>
      <c r="D154" s="6">
        <v>46</v>
      </c>
      <c r="E154" s="6">
        <v>44</v>
      </c>
      <c r="F154" s="6">
        <v>34</v>
      </c>
      <c r="G154" s="6">
        <v>24</v>
      </c>
      <c r="H154" s="6">
        <v>62</v>
      </c>
      <c r="I154" s="6">
        <v>45</v>
      </c>
      <c r="J154" s="6">
        <v>46</v>
      </c>
      <c r="K154" s="6">
        <v>36</v>
      </c>
      <c r="L154" s="6">
        <v>24</v>
      </c>
      <c r="M154" s="6">
        <v>32</v>
      </c>
      <c r="N154" s="6">
        <v>50</v>
      </c>
      <c r="O154" s="6">
        <v>48</v>
      </c>
    </row>
    <row r="155" spans="1:15" ht="15.5" x14ac:dyDescent="0.3">
      <c r="A155" s="68"/>
      <c r="B155" s="68"/>
      <c r="C155" s="6" t="s">
        <v>18</v>
      </c>
      <c r="D155" s="6">
        <v>51</v>
      </c>
      <c r="E155" s="6">
        <v>48</v>
      </c>
      <c r="F155" s="6">
        <v>30</v>
      </c>
      <c r="G155" s="6">
        <v>44</v>
      </c>
      <c r="H155" s="6">
        <v>80</v>
      </c>
      <c r="I155" s="6">
        <v>43</v>
      </c>
      <c r="J155" s="6">
        <v>41</v>
      </c>
      <c r="K155" s="6">
        <v>41</v>
      </c>
      <c r="L155" s="6">
        <v>32</v>
      </c>
      <c r="M155" s="6">
        <v>40</v>
      </c>
      <c r="N155" s="6">
        <v>40</v>
      </c>
      <c r="O155" s="6">
        <v>38</v>
      </c>
    </row>
    <row r="156" spans="1:15" ht="15.5" x14ac:dyDescent="0.3">
      <c r="A156" s="68"/>
      <c r="B156" s="68"/>
      <c r="C156" s="6" t="s">
        <v>19</v>
      </c>
      <c r="D156" s="6">
        <v>60</v>
      </c>
      <c r="E156" s="6">
        <v>70</v>
      </c>
      <c r="F156" s="6">
        <v>75</v>
      </c>
      <c r="G156" s="6">
        <v>65</v>
      </c>
      <c r="H156" s="6">
        <v>35</v>
      </c>
      <c r="I156" s="6">
        <v>74</v>
      </c>
      <c r="J156" s="6">
        <v>64</v>
      </c>
      <c r="K156" s="6">
        <v>74</v>
      </c>
      <c r="L156" s="6">
        <v>69</v>
      </c>
      <c r="M156" s="6">
        <v>68</v>
      </c>
      <c r="N156" s="6">
        <v>89</v>
      </c>
      <c r="O156" s="6">
        <v>86</v>
      </c>
    </row>
    <row r="157" spans="1:15" ht="15.5" x14ac:dyDescent="0.3">
      <c r="A157" s="68"/>
      <c r="B157" s="68"/>
      <c r="C157" s="6" t="s">
        <v>20</v>
      </c>
      <c r="D157" s="6">
        <v>88</v>
      </c>
      <c r="E157" s="6">
        <v>88</v>
      </c>
      <c r="F157" s="6">
        <v>75</v>
      </c>
      <c r="G157" s="6">
        <v>40</v>
      </c>
      <c r="H157" s="6">
        <v>50</v>
      </c>
      <c r="I157" s="6">
        <v>40</v>
      </c>
      <c r="J157" s="6">
        <v>65</v>
      </c>
      <c r="K157" s="6">
        <v>85</v>
      </c>
      <c r="L157" s="6">
        <v>86</v>
      </c>
      <c r="M157" s="6">
        <v>50</v>
      </c>
      <c r="N157" s="6">
        <v>104</v>
      </c>
      <c r="O157" s="6">
        <v>68</v>
      </c>
    </row>
    <row r="158" spans="1:15" ht="15.5" x14ac:dyDescent="0.3">
      <c r="A158" s="69"/>
      <c r="B158" s="69"/>
      <c r="C158" s="6" t="s">
        <v>21</v>
      </c>
      <c r="D158" s="6">
        <v>50</v>
      </c>
      <c r="E158" s="6">
        <v>72</v>
      </c>
      <c r="F158" s="6">
        <v>112</v>
      </c>
      <c r="G158" s="6">
        <v>94</v>
      </c>
      <c r="H158" s="6">
        <v>96</v>
      </c>
      <c r="I158" s="6">
        <v>50</v>
      </c>
      <c r="J158" s="6">
        <v>50</v>
      </c>
      <c r="K158" s="6">
        <v>52</v>
      </c>
      <c r="L158" s="6">
        <v>72</v>
      </c>
      <c r="M158" s="6">
        <v>55</v>
      </c>
      <c r="N158" s="6">
        <v>80</v>
      </c>
      <c r="O158" s="6">
        <v>90</v>
      </c>
    </row>
    <row r="159" spans="1:15" x14ac:dyDescent="0.3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</row>
    <row r="160" spans="1:15" x14ac:dyDescent="0.3">
      <c r="A160" s="9" t="s">
        <v>29</v>
      </c>
      <c r="B160" s="9" t="s">
        <v>1</v>
      </c>
      <c r="C160" s="79" t="s">
        <v>2</v>
      </c>
      <c r="D160" s="74" t="s">
        <v>3</v>
      </c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</row>
    <row r="161" spans="1:15" x14ac:dyDescent="0.3">
      <c r="A161" s="67">
        <v>1</v>
      </c>
      <c r="B161" s="67" t="s">
        <v>25</v>
      </c>
      <c r="C161" s="79"/>
      <c r="D161" s="74" t="s">
        <v>4</v>
      </c>
      <c r="E161" s="74"/>
      <c r="F161" s="74"/>
      <c r="G161" s="74"/>
      <c r="H161" s="74" t="s">
        <v>11</v>
      </c>
      <c r="I161" s="74"/>
      <c r="J161" s="74"/>
      <c r="K161" s="74"/>
      <c r="L161" s="74" t="s">
        <v>12</v>
      </c>
      <c r="M161" s="74"/>
      <c r="N161" s="74"/>
      <c r="O161" s="74"/>
    </row>
    <row r="162" spans="1:15" x14ac:dyDescent="0.3">
      <c r="A162" s="68"/>
      <c r="B162" s="68"/>
      <c r="C162" s="79"/>
      <c r="D162" s="54" t="s">
        <v>5</v>
      </c>
      <c r="E162" s="54" t="s">
        <v>7</v>
      </c>
      <c r="F162" s="54" t="s">
        <v>8</v>
      </c>
      <c r="G162" s="54" t="s">
        <v>10</v>
      </c>
      <c r="H162" s="54" t="s">
        <v>5</v>
      </c>
      <c r="I162" s="54" t="s">
        <v>7</v>
      </c>
      <c r="J162" s="54" t="s">
        <v>8</v>
      </c>
      <c r="K162" s="54" t="s">
        <v>10</v>
      </c>
      <c r="L162" s="54" t="s">
        <v>5</v>
      </c>
      <c r="M162" s="54" t="s">
        <v>7</v>
      </c>
      <c r="N162" s="54" t="s">
        <v>8</v>
      </c>
      <c r="O162" s="54" t="s">
        <v>10</v>
      </c>
    </row>
    <row r="163" spans="1:15" ht="15.5" x14ac:dyDescent="0.3">
      <c r="A163" s="68"/>
      <c r="B163" s="68"/>
      <c r="C163" s="6" t="s">
        <v>13</v>
      </c>
      <c r="D163" s="6">
        <v>70</v>
      </c>
      <c r="E163" s="6">
        <v>68</v>
      </c>
      <c r="F163" s="6">
        <v>86</v>
      </c>
      <c r="G163" s="6">
        <v>79</v>
      </c>
      <c r="H163" s="6">
        <v>41</v>
      </c>
      <c r="I163" s="6">
        <v>76</v>
      </c>
      <c r="J163" s="6">
        <v>82</v>
      </c>
      <c r="K163" s="6">
        <v>70</v>
      </c>
      <c r="L163" s="6">
        <v>65</v>
      </c>
      <c r="M163" s="6">
        <v>70</v>
      </c>
      <c r="N163" s="6">
        <v>61</v>
      </c>
      <c r="O163" s="6">
        <v>79</v>
      </c>
    </row>
    <row r="164" spans="1:15" ht="15.5" x14ac:dyDescent="0.3">
      <c r="A164" s="68"/>
      <c r="B164" s="68"/>
      <c r="C164" s="6" t="s">
        <v>14</v>
      </c>
      <c r="D164" s="54">
        <v>62</v>
      </c>
      <c r="E164" s="54">
        <v>61</v>
      </c>
      <c r="F164" s="54">
        <v>60</v>
      </c>
      <c r="G164" s="54">
        <v>62</v>
      </c>
      <c r="H164" s="54">
        <v>65</v>
      </c>
      <c r="I164" s="54">
        <v>59</v>
      </c>
      <c r="J164" s="54">
        <v>58</v>
      </c>
      <c r="K164" s="54">
        <v>58</v>
      </c>
      <c r="L164" s="54">
        <v>60</v>
      </c>
      <c r="M164" s="54">
        <v>61</v>
      </c>
      <c r="N164" s="54">
        <v>59</v>
      </c>
      <c r="O164" s="54">
        <v>62</v>
      </c>
    </row>
    <row r="165" spans="1:15" ht="15.5" x14ac:dyDescent="0.3">
      <c r="A165" s="68"/>
      <c r="B165" s="68"/>
      <c r="C165" s="6" t="s">
        <v>15</v>
      </c>
      <c r="D165" s="54">
        <v>60</v>
      </c>
      <c r="E165" s="54">
        <v>59</v>
      </c>
      <c r="F165" s="54">
        <v>61</v>
      </c>
      <c r="G165" s="54">
        <v>62</v>
      </c>
      <c r="H165" s="54">
        <v>58</v>
      </c>
      <c r="I165" s="54">
        <v>63</v>
      </c>
      <c r="J165" s="54">
        <v>61</v>
      </c>
      <c r="K165" s="54">
        <v>60</v>
      </c>
      <c r="L165" s="54">
        <v>64</v>
      </c>
      <c r="M165" s="54">
        <v>59</v>
      </c>
      <c r="N165" s="54">
        <v>61</v>
      </c>
      <c r="O165" s="54">
        <v>65</v>
      </c>
    </row>
    <row r="166" spans="1:15" ht="15.5" x14ac:dyDescent="0.3">
      <c r="A166" s="68"/>
      <c r="B166" s="68"/>
      <c r="C166" s="6" t="s">
        <v>16</v>
      </c>
      <c r="D166" s="6">
        <v>65</v>
      </c>
      <c r="E166" s="6">
        <v>57</v>
      </c>
      <c r="F166" s="6">
        <v>51</v>
      </c>
      <c r="G166" s="6">
        <v>62</v>
      </c>
      <c r="H166" s="6">
        <v>101</v>
      </c>
      <c r="I166" s="6">
        <v>54</v>
      </c>
      <c r="J166" s="6">
        <v>64</v>
      </c>
      <c r="K166" s="6">
        <v>67</v>
      </c>
      <c r="L166" s="6">
        <v>46</v>
      </c>
      <c r="M166" s="6">
        <v>50</v>
      </c>
      <c r="N166" s="6">
        <v>71</v>
      </c>
      <c r="O166" s="6">
        <v>75</v>
      </c>
    </row>
    <row r="167" spans="1:15" ht="15.5" x14ac:dyDescent="0.3">
      <c r="A167" s="68"/>
      <c r="B167" s="68"/>
      <c r="C167" s="6" t="s">
        <v>17</v>
      </c>
      <c r="D167" s="6">
        <v>74</v>
      </c>
      <c r="E167" s="6">
        <v>57</v>
      </c>
      <c r="F167" s="6">
        <v>51</v>
      </c>
      <c r="G167" s="6">
        <v>62</v>
      </c>
      <c r="H167" s="6">
        <v>56</v>
      </c>
      <c r="I167" s="6">
        <v>46</v>
      </c>
      <c r="J167" s="6">
        <v>62</v>
      </c>
      <c r="K167" s="6">
        <v>33</v>
      </c>
      <c r="L167" s="6">
        <v>49</v>
      </c>
      <c r="M167" s="6">
        <v>46</v>
      </c>
      <c r="N167" s="6">
        <v>48</v>
      </c>
      <c r="O167" s="6">
        <v>64</v>
      </c>
    </row>
    <row r="168" spans="1:15" ht="15.5" x14ac:dyDescent="0.3">
      <c r="A168" s="68"/>
      <c r="B168" s="68"/>
      <c r="C168" s="6" t="s">
        <v>18</v>
      </c>
      <c r="D168" s="6">
        <v>58</v>
      </c>
      <c r="E168" s="6">
        <v>55</v>
      </c>
      <c r="F168" s="6">
        <v>40</v>
      </c>
      <c r="G168" s="6">
        <v>52</v>
      </c>
      <c r="H168" s="6">
        <v>82</v>
      </c>
      <c r="I168" s="6">
        <v>50</v>
      </c>
      <c r="J168" s="6">
        <v>55</v>
      </c>
      <c r="K168" s="6">
        <v>56</v>
      </c>
      <c r="L168" s="6">
        <v>40</v>
      </c>
      <c r="M168" s="6">
        <v>48</v>
      </c>
      <c r="N168" s="6">
        <v>50</v>
      </c>
      <c r="O168" s="6">
        <v>47</v>
      </c>
    </row>
    <row r="169" spans="1:15" ht="15.5" x14ac:dyDescent="0.3">
      <c r="A169" s="68"/>
      <c r="B169" s="68"/>
      <c r="C169" s="6" t="s">
        <v>19</v>
      </c>
      <c r="D169" s="6">
        <v>70</v>
      </c>
      <c r="E169" s="6">
        <v>86</v>
      </c>
      <c r="F169" s="6">
        <v>85</v>
      </c>
      <c r="G169" s="6">
        <v>78</v>
      </c>
      <c r="H169" s="6">
        <v>49</v>
      </c>
      <c r="I169" s="6">
        <v>89</v>
      </c>
      <c r="J169" s="6">
        <v>79</v>
      </c>
      <c r="K169" s="6">
        <v>82</v>
      </c>
      <c r="L169" s="6">
        <v>65</v>
      </c>
      <c r="M169" s="6">
        <v>62</v>
      </c>
      <c r="N169" s="6">
        <v>62</v>
      </c>
      <c r="O169" s="6">
        <v>55</v>
      </c>
    </row>
    <row r="170" spans="1:15" ht="15.5" x14ac:dyDescent="0.3">
      <c r="A170" s="68"/>
      <c r="B170" s="68"/>
      <c r="C170" s="6" t="s">
        <v>20</v>
      </c>
      <c r="D170" s="6">
        <v>97</v>
      </c>
      <c r="E170" s="6">
        <v>95</v>
      </c>
      <c r="F170" s="6">
        <v>82</v>
      </c>
      <c r="G170" s="6">
        <v>59</v>
      </c>
      <c r="H170" s="6">
        <v>59</v>
      </c>
      <c r="I170" s="6">
        <v>49</v>
      </c>
      <c r="J170" s="6">
        <v>77</v>
      </c>
      <c r="K170" s="6">
        <v>93</v>
      </c>
      <c r="L170" s="6">
        <v>94</v>
      </c>
      <c r="M170" s="6">
        <v>64</v>
      </c>
      <c r="N170" s="6">
        <v>112</v>
      </c>
      <c r="O170" s="6">
        <v>59</v>
      </c>
    </row>
    <row r="171" spans="1:15" ht="15.5" x14ac:dyDescent="0.3">
      <c r="A171" s="69"/>
      <c r="B171" s="69"/>
      <c r="C171" s="6" t="s">
        <v>21</v>
      </c>
      <c r="D171" s="6">
        <v>59</v>
      </c>
      <c r="E171" s="6">
        <v>89</v>
      </c>
      <c r="F171" s="6">
        <v>121</v>
      </c>
      <c r="G171" s="6">
        <v>98</v>
      </c>
      <c r="H171" s="6">
        <v>101</v>
      </c>
      <c r="I171" s="6">
        <v>59</v>
      </c>
      <c r="J171" s="6">
        <v>61</v>
      </c>
      <c r="K171" s="6">
        <v>68</v>
      </c>
      <c r="L171" s="6">
        <v>103</v>
      </c>
      <c r="M171" s="6">
        <v>83</v>
      </c>
      <c r="N171" s="6">
        <v>83</v>
      </c>
      <c r="O171" s="6">
        <v>57</v>
      </c>
    </row>
    <row r="172" spans="1:15" x14ac:dyDescent="0.3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</row>
    <row r="173" spans="1:15" x14ac:dyDescent="0.3">
      <c r="A173" s="9" t="s">
        <v>29</v>
      </c>
      <c r="B173" s="9" t="s">
        <v>1</v>
      </c>
      <c r="C173" s="79" t="s">
        <v>2</v>
      </c>
      <c r="D173" s="74" t="s">
        <v>3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</row>
    <row r="174" spans="1:15" x14ac:dyDescent="0.3">
      <c r="A174" s="67">
        <v>1</v>
      </c>
      <c r="B174" s="67" t="s">
        <v>26</v>
      </c>
      <c r="C174" s="79"/>
      <c r="D174" s="74" t="s">
        <v>4</v>
      </c>
      <c r="E174" s="74"/>
      <c r="F174" s="74"/>
      <c r="G174" s="74"/>
      <c r="H174" s="74" t="s">
        <v>11</v>
      </c>
      <c r="I174" s="74"/>
      <c r="J174" s="74"/>
      <c r="K174" s="74"/>
      <c r="L174" s="74" t="s">
        <v>12</v>
      </c>
      <c r="M174" s="74"/>
      <c r="N174" s="74"/>
      <c r="O174" s="74"/>
    </row>
    <row r="175" spans="1:15" x14ac:dyDescent="0.3">
      <c r="A175" s="68"/>
      <c r="B175" s="68"/>
      <c r="C175" s="79"/>
      <c r="D175" s="54" t="s">
        <v>5</v>
      </c>
      <c r="E175" s="54" t="s">
        <v>7</v>
      </c>
      <c r="F175" s="54" t="s">
        <v>8</v>
      </c>
      <c r="G175" s="54" t="s">
        <v>10</v>
      </c>
      <c r="H175" s="54" t="s">
        <v>5</v>
      </c>
      <c r="I175" s="54" t="s">
        <v>7</v>
      </c>
      <c r="J175" s="54" t="s">
        <v>8</v>
      </c>
      <c r="K175" s="54" t="s">
        <v>10</v>
      </c>
      <c r="L175" s="54" t="s">
        <v>5</v>
      </c>
      <c r="M175" s="54" t="s">
        <v>7</v>
      </c>
      <c r="N175" s="54" t="s">
        <v>8</v>
      </c>
      <c r="O175" s="54" t="s">
        <v>10</v>
      </c>
    </row>
    <row r="176" spans="1:15" ht="15.5" x14ac:dyDescent="0.3">
      <c r="A176" s="68"/>
      <c r="B176" s="68"/>
      <c r="C176" s="6" t="s">
        <v>13</v>
      </c>
      <c r="D176" s="6">
        <v>65</v>
      </c>
      <c r="E176" s="6">
        <v>70</v>
      </c>
      <c r="F176" s="6">
        <v>88</v>
      </c>
      <c r="G176" s="6">
        <v>81</v>
      </c>
      <c r="H176" s="6">
        <v>45</v>
      </c>
      <c r="I176" s="6">
        <v>74</v>
      </c>
      <c r="J176" s="6">
        <v>80</v>
      </c>
      <c r="K176" s="6">
        <v>73</v>
      </c>
      <c r="L176" s="6">
        <v>73</v>
      </c>
      <c r="M176" s="6">
        <v>70</v>
      </c>
      <c r="N176" s="6">
        <v>67</v>
      </c>
      <c r="O176" s="6">
        <v>77</v>
      </c>
    </row>
    <row r="177" spans="1:15" ht="15.5" x14ac:dyDescent="0.3">
      <c r="A177" s="68"/>
      <c r="B177" s="68"/>
      <c r="C177" s="6" t="s">
        <v>14</v>
      </c>
      <c r="D177" s="54">
        <v>65</v>
      </c>
      <c r="E177" s="54">
        <v>64</v>
      </c>
      <c r="F177" s="54">
        <v>67</v>
      </c>
      <c r="G177" s="54">
        <v>68</v>
      </c>
      <c r="H177" s="54">
        <v>69</v>
      </c>
      <c r="I177" s="54">
        <v>71</v>
      </c>
      <c r="J177" s="54">
        <v>70</v>
      </c>
      <c r="K177" s="54">
        <v>68</v>
      </c>
      <c r="L177" s="54">
        <v>67</v>
      </c>
      <c r="M177" s="54">
        <v>66</v>
      </c>
      <c r="N177" s="54">
        <v>65</v>
      </c>
      <c r="O177" s="54">
        <v>64</v>
      </c>
    </row>
    <row r="178" spans="1:15" ht="15.5" x14ac:dyDescent="0.3">
      <c r="A178" s="68"/>
      <c r="B178" s="68"/>
      <c r="C178" s="6" t="s">
        <v>15</v>
      </c>
      <c r="D178" s="54">
        <v>69</v>
      </c>
      <c r="E178" s="54">
        <v>71</v>
      </c>
      <c r="F178" s="54">
        <v>68</v>
      </c>
      <c r="G178" s="54">
        <v>67</v>
      </c>
      <c r="H178" s="54">
        <v>69</v>
      </c>
      <c r="I178" s="54">
        <v>72</v>
      </c>
      <c r="J178" s="54">
        <v>66</v>
      </c>
      <c r="K178" s="54">
        <v>68</v>
      </c>
      <c r="L178" s="54">
        <v>65</v>
      </c>
      <c r="M178" s="54">
        <v>66</v>
      </c>
      <c r="N178" s="54">
        <v>68</v>
      </c>
      <c r="O178" s="54">
        <v>69</v>
      </c>
    </row>
    <row r="179" spans="1:15" ht="15.5" x14ac:dyDescent="0.3">
      <c r="A179" s="68"/>
      <c r="B179" s="68"/>
      <c r="C179" s="6" t="s">
        <v>16</v>
      </c>
      <c r="D179" s="6">
        <v>70</v>
      </c>
      <c r="E179" s="6">
        <v>64</v>
      </c>
      <c r="F179" s="6">
        <v>59</v>
      </c>
      <c r="G179" s="6">
        <v>68</v>
      </c>
      <c r="H179" s="6">
        <v>105</v>
      </c>
      <c r="I179" s="6">
        <v>60</v>
      </c>
      <c r="J179" s="6">
        <v>69</v>
      </c>
      <c r="K179" s="6">
        <v>73</v>
      </c>
      <c r="L179" s="6">
        <v>55</v>
      </c>
      <c r="M179" s="6">
        <v>53</v>
      </c>
      <c r="N179" s="6">
        <v>73</v>
      </c>
      <c r="O179" s="6">
        <v>76</v>
      </c>
    </row>
    <row r="180" spans="1:15" ht="15.5" x14ac:dyDescent="0.3">
      <c r="A180" s="68"/>
      <c r="B180" s="68"/>
      <c r="C180" s="6" t="s">
        <v>17</v>
      </c>
      <c r="D180" s="6">
        <v>80</v>
      </c>
      <c r="E180" s="6">
        <v>60</v>
      </c>
      <c r="F180" s="6">
        <v>61</v>
      </c>
      <c r="G180" s="6">
        <v>72</v>
      </c>
      <c r="H180" s="6">
        <v>59</v>
      </c>
      <c r="I180" s="6">
        <v>55</v>
      </c>
      <c r="J180" s="6">
        <v>69</v>
      </c>
      <c r="K180" s="6">
        <v>40</v>
      </c>
      <c r="L180" s="6">
        <v>51</v>
      </c>
      <c r="M180" s="6">
        <v>48</v>
      </c>
      <c r="N180" s="6">
        <v>50</v>
      </c>
      <c r="O180" s="6">
        <v>67</v>
      </c>
    </row>
    <row r="181" spans="1:15" ht="15.5" x14ac:dyDescent="0.3">
      <c r="A181" s="68"/>
      <c r="B181" s="68"/>
      <c r="C181" s="6" t="s">
        <v>18</v>
      </c>
      <c r="D181" s="6">
        <v>59</v>
      </c>
      <c r="E181" s="6">
        <v>55</v>
      </c>
      <c r="F181" s="6">
        <v>45</v>
      </c>
      <c r="G181" s="6">
        <v>55</v>
      </c>
      <c r="H181" s="6">
        <v>84</v>
      </c>
      <c r="I181" s="6">
        <v>61</v>
      </c>
      <c r="J181" s="6">
        <v>60</v>
      </c>
      <c r="K181" s="6">
        <v>62</v>
      </c>
      <c r="L181" s="6">
        <v>46</v>
      </c>
      <c r="M181" s="6">
        <v>50</v>
      </c>
      <c r="N181" s="6">
        <v>53</v>
      </c>
      <c r="O181" s="6">
        <v>54</v>
      </c>
    </row>
    <row r="182" spans="1:15" ht="15.5" x14ac:dyDescent="0.3">
      <c r="A182" s="68"/>
      <c r="B182" s="68"/>
      <c r="C182" s="6" t="s">
        <v>19</v>
      </c>
      <c r="D182" s="6">
        <v>85</v>
      </c>
      <c r="E182" s="6">
        <v>80</v>
      </c>
      <c r="F182" s="6">
        <v>92</v>
      </c>
      <c r="G182" s="6">
        <v>86</v>
      </c>
      <c r="H182" s="6">
        <v>52</v>
      </c>
      <c r="I182" s="6">
        <v>86</v>
      </c>
      <c r="J182" s="6">
        <v>85</v>
      </c>
      <c r="K182" s="6">
        <v>96</v>
      </c>
      <c r="L182" s="6">
        <v>78</v>
      </c>
      <c r="M182" s="6">
        <v>81</v>
      </c>
      <c r="N182" s="6">
        <v>85</v>
      </c>
      <c r="O182" s="6">
        <v>71</v>
      </c>
    </row>
    <row r="183" spans="1:15" ht="15.5" x14ac:dyDescent="0.3">
      <c r="A183" s="68"/>
      <c r="B183" s="68"/>
      <c r="C183" s="6" t="s">
        <v>20</v>
      </c>
      <c r="D183" s="6">
        <v>113</v>
      </c>
      <c r="E183" s="6">
        <v>107</v>
      </c>
      <c r="F183" s="6">
        <v>93</v>
      </c>
      <c r="G183" s="6">
        <v>65</v>
      </c>
      <c r="H183" s="6">
        <v>65</v>
      </c>
      <c r="I183" s="6">
        <v>56</v>
      </c>
      <c r="J183" s="6">
        <v>86</v>
      </c>
      <c r="K183" s="6">
        <v>102</v>
      </c>
      <c r="L183" s="6">
        <v>102</v>
      </c>
      <c r="M183" s="6">
        <v>74</v>
      </c>
      <c r="N183" s="6">
        <v>109</v>
      </c>
      <c r="O183" s="6">
        <v>68</v>
      </c>
    </row>
    <row r="184" spans="1:15" ht="15.5" x14ac:dyDescent="0.3">
      <c r="A184" s="69"/>
      <c r="B184" s="69"/>
      <c r="C184" s="6" t="s">
        <v>21</v>
      </c>
      <c r="D184" s="6">
        <v>67</v>
      </c>
      <c r="E184" s="6">
        <v>83</v>
      </c>
      <c r="F184" s="6">
        <v>119</v>
      </c>
      <c r="G184" s="6">
        <v>97</v>
      </c>
      <c r="H184" s="6">
        <v>105</v>
      </c>
      <c r="I184" s="6">
        <v>63</v>
      </c>
      <c r="J184" s="6">
        <v>69</v>
      </c>
      <c r="K184" s="6">
        <v>74</v>
      </c>
      <c r="L184" s="6">
        <v>110</v>
      </c>
      <c r="M184" s="6">
        <v>80</v>
      </c>
      <c r="N184" s="6">
        <v>91</v>
      </c>
      <c r="O184" s="6">
        <v>69</v>
      </c>
    </row>
    <row r="185" spans="1:15" x14ac:dyDescent="0.3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</row>
    <row r="186" spans="1:15" x14ac:dyDescent="0.3">
      <c r="A186" s="9" t="s">
        <v>29</v>
      </c>
      <c r="B186" s="9" t="s">
        <v>1</v>
      </c>
      <c r="C186" s="79" t="s">
        <v>2</v>
      </c>
      <c r="D186" s="74" t="s">
        <v>3</v>
      </c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</row>
    <row r="187" spans="1:15" x14ac:dyDescent="0.3">
      <c r="A187" s="67">
        <v>1</v>
      </c>
      <c r="B187" s="67" t="s">
        <v>27</v>
      </c>
      <c r="C187" s="79"/>
      <c r="D187" s="74" t="s">
        <v>4</v>
      </c>
      <c r="E187" s="74"/>
      <c r="F187" s="74"/>
      <c r="G187" s="74"/>
      <c r="H187" s="74" t="s">
        <v>11</v>
      </c>
      <c r="I187" s="74"/>
      <c r="J187" s="74"/>
      <c r="K187" s="74"/>
      <c r="L187" s="74" t="s">
        <v>12</v>
      </c>
      <c r="M187" s="74"/>
      <c r="N187" s="74"/>
      <c r="O187" s="74"/>
    </row>
    <row r="188" spans="1:15" x14ac:dyDescent="0.3">
      <c r="A188" s="68"/>
      <c r="B188" s="68"/>
      <c r="C188" s="79"/>
      <c r="D188" s="54" t="s">
        <v>5</v>
      </c>
      <c r="E188" s="54" t="s">
        <v>7</v>
      </c>
      <c r="F188" s="54" t="s">
        <v>8</v>
      </c>
      <c r="G188" s="54" t="s">
        <v>10</v>
      </c>
      <c r="H188" s="54" t="s">
        <v>5</v>
      </c>
      <c r="I188" s="54" t="s">
        <v>7</v>
      </c>
      <c r="J188" s="54" t="s">
        <v>8</v>
      </c>
      <c r="K188" s="54" t="s">
        <v>10</v>
      </c>
      <c r="L188" s="54" t="s">
        <v>5</v>
      </c>
      <c r="M188" s="54" t="s">
        <v>7</v>
      </c>
      <c r="N188" s="54" t="s">
        <v>8</v>
      </c>
      <c r="O188" s="54" t="s">
        <v>10</v>
      </c>
    </row>
    <row r="189" spans="1:15" ht="15.5" x14ac:dyDescent="0.3">
      <c r="A189" s="68"/>
      <c r="B189" s="68"/>
      <c r="C189" s="6" t="s">
        <v>13</v>
      </c>
      <c r="D189" s="6">
        <v>74</v>
      </c>
      <c r="E189" s="6">
        <v>68</v>
      </c>
      <c r="F189" s="6">
        <v>89</v>
      </c>
      <c r="G189" s="6">
        <v>79</v>
      </c>
      <c r="H189" s="6">
        <v>51</v>
      </c>
      <c r="I189" s="6">
        <v>74</v>
      </c>
      <c r="J189" s="6">
        <v>82</v>
      </c>
      <c r="K189" s="6">
        <v>70</v>
      </c>
      <c r="L189" s="6">
        <v>78</v>
      </c>
      <c r="M189" s="6">
        <v>74</v>
      </c>
      <c r="N189" s="6">
        <v>69</v>
      </c>
      <c r="O189" s="6">
        <v>79</v>
      </c>
    </row>
    <row r="190" spans="1:15" ht="15.5" x14ac:dyDescent="0.3">
      <c r="A190" s="68"/>
      <c r="B190" s="68"/>
      <c r="C190" s="6" t="s">
        <v>14</v>
      </c>
      <c r="D190" s="54">
        <v>71</v>
      </c>
      <c r="E190" s="54">
        <v>72</v>
      </c>
      <c r="F190" s="54">
        <v>68</v>
      </c>
      <c r="G190" s="54">
        <v>73</v>
      </c>
      <c r="H190" s="54">
        <v>69</v>
      </c>
      <c r="I190" s="54">
        <v>71</v>
      </c>
      <c r="J190" s="54">
        <v>70</v>
      </c>
      <c r="K190" s="54">
        <v>73</v>
      </c>
      <c r="L190" s="54">
        <v>72</v>
      </c>
      <c r="M190" s="54">
        <v>74</v>
      </c>
      <c r="N190" s="54">
        <v>70</v>
      </c>
      <c r="O190" s="54">
        <v>69</v>
      </c>
    </row>
    <row r="191" spans="1:15" ht="15.5" x14ac:dyDescent="0.3">
      <c r="A191" s="68"/>
      <c r="B191" s="68"/>
      <c r="C191" s="6" t="s">
        <v>15</v>
      </c>
      <c r="D191" s="54">
        <v>72</v>
      </c>
      <c r="E191" s="54">
        <v>71</v>
      </c>
      <c r="F191" s="54">
        <v>70</v>
      </c>
      <c r="G191" s="54">
        <v>73</v>
      </c>
      <c r="H191" s="54">
        <v>74</v>
      </c>
      <c r="I191" s="54">
        <v>71</v>
      </c>
      <c r="J191" s="54">
        <v>70</v>
      </c>
      <c r="K191" s="54">
        <v>69</v>
      </c>
      <c r="L191" s="54">
        <v>72</v>
      </c>
      <c r="M191" s="54">
        <v>74</v>
      </c>
      <c r="N191" s="54">
        <v>73</v>
      </c>
      <c r="O191" s="54">
        <v>72</v>
      </c>
    </row>
    <row r="192" spans="1:15" ht="15.5" x14ac:dyDescent="0.3">
      <c r="A192" s="68"/>
      <c r="B192" s="68"/>
      <c r="C192" s="6" t="s">
        <v>16</v>
      </c>
      <c r="D192" s="6">
        <v>74</v>
      </c>
      <c r="E192" s="6">
        <v>69</v>
      </c>
      <c r="F192" s="6">
        <v>64</v>
      </c>
      <c r="G192" s="6">
        <v>70</v>
      </c>
      <c r="H192" s="6">
        <v>107</v>
      </c>
      <c r="I192" s="6">
        <v>65</v>
      </c>
      <c r="J192" s="6">
        <v>73</v>
      </c>
      <c r="K192" s="6">
        <v>75</v>
      </c>
      <c r="L192" s="6">
        <v>58</v>
      </c>
      <c r="M192" s="6">
        <v>55</v>
      </c>
      <c r="N192" s="6">
        <v>76</v>
      </c>
      <c r="O192" s="6">
        <v>78</v>
      </c>
    </row>
    <row r="193" spans="1:15" ht="15.5" x14ac:dyDescent="0.3">
      <c r="A193" s="68"/>
      <c r="B193" s="68"/>
      <c r="C193" s="6" t="s">
        <v>17</v>
      </c>
      <c r="D193" s="6">
        <v>82</v>
      </c>
      <c r="E193" s="6">
        <v>66</v>
      </c>
      <c r="F193" s="6">
        <v>68</v>
      </c>
      <c r="G193" s="6">
        <v>75</v>
      </c>
      <c r="H193" s="6">
        <v>64</v>
      </c>
      <c r="I193" s="6">
        <v>65</v>
      </c>
      <c r="J193" s="6">
        <v>73</v>
      </c>
      <c r="K193" s="6">
        <v>50</v>
      </c>
      <c r="L193" s="6">
        <v>54</v>
      </c>
      <c r="M193" s="6">
        <v>52</v>
      </c>
      <c r="N193" s="6">
        <v>54</v>
      </c>
      <c r="O193" s="6">
        <v>69</v>
      </c>
    </row>
    <row r="194" spans="1:15" ht="15.5" x14ac:dyDescent="0.3">
      <c r="A194" s="68"/>
      <c r="B194" s="68"/>
      <c r="C194" s="6" t="s">
        <v>18</v>
      </c>
      <c r="D194" s="6">
        <v>61</v>
      </c>
      <c r="E194" s="6">
        <v>60</v>
      </c>
      <c r="F194" s="6">
        <v>62</v>
      </c>
      <c r="G194" s="6">
        <v>63</v>
      </c>
      <c r="H194" s="6">
        <v>89</v>
      </c>
      <c r="I194" s="6">
        <v>67</v>
      </c>
      <c r="J194" s="6">
        <v>66</v>
      </c>
      <c r="K194" s="6">
        <v>69</v>
      </c>
      <c r="L194" s="6">
        <v>49</v>
      </c>
      <c r="M194" s="6">
        <v>54</v>
      </c>
      <c r="N194" s="6">
        <v>55</v>
      </c>
      <c r="O194" s="6">
        <v>58</v>
      </c>
    </row>
    <row r="195" spans="1:15" ht="15.5" x14ac:dyDescent="0.3">
      <c r="A195" s="68"/>
      <c r="B195" s="68"/>
      <c r="C195" s="6" t="s">
        <v>19</v>
      </c>
      <c r="D195" s="6">
        <v>116</v>
      </c>
      <c r="E195" s="6">
        <v>90</v>
      </c>
      <c r="F195" s="6">
        <v>99</v>
      </c>
      <c r="G195" s="6">
        <v>90</v>
      </c>
      <c r="H195" s="6">
        <v>68</v>
      </c>
      <c r="I195" s="6">
        <v>84</v>
      </c>
      <c r="J195" s="6">
        <v>93</v>
      </c>
      <c r="K195" s="6">
        <v>104</v>
      </c>
      <c r="L195" s="6">
        <v>80</v>
      </c>
      <c r="M195" s="6">
        <v>93</v>
      </c>
      <c r="N195" s="6">
        <v>96</v>
      </c>
      <c r="O195" s="6">
        <v>86</v>
      </c>
    </row>
    <row r="196" spans="1:15" ht="15.5" x14ac:dyDescent="0.3">
      <c r="A196" s="68"/>
      <c r="B196" s="68"/>
      <c r="C196" s="6" t="s">
        <v>20</v>
      </c>
      <c r="D196" s="6">
        <v>79</v>
      </c>
      <c r="E196" s="6">
        <v>71</v>
      </c>
      <c r="F196" s="6">
        <v>96</v>
      </c>
      <c r="G196" s="6">
        <v>103</v>
      </c>
      <c r="H196" s="6">
        <v>121</v>
      </c>
      <c r="I196" s="6">
        <v>114</v>
      </c>
      <c r="J196" s="6">
        <v>106</v>
      </c>
      <c r="K196" s="6">
        <v>78</v>
      </c>
      <c r="L196" s="6">
        <v>103</v>
      </c>
      <c r="M196" s="6">
        <v>81</v>
      </c>
      <c r="N196" s="6">
        <v>102</v>
      </c>
      <c r="O196" s="6">
        <v>76</v>
      </c>
    </row>
    <row r="197" spans="1:15" ht="15.5" x14ac:dyDescent="0.3">
      <c r="A197" s="69"/>
      <c r="B197" s="69"/>
      <c r="C197" s="6" t="s">
        <v>21</v>
      </c>
      <c r="D197" s="6">
        <v>65</v>
      </c>
      <c r="E197" s="6">
        <v>89</v>
      </c>
      <c r="F197" s="6">
        <v>120</v>
      </c>
      <c r="G197" s="6">
        <v>101</v>
      </c>
      <c r="H197" s="6">
        <v>113</v>
      </c>
      <c r="I197" s="6">
        <v>70</v>
      </c>
      <c r="J197" s="6">
        <v>73</v>
      </c>
      <c r="K197" s="6">
        <v>75</v>
      </c>
      <c r="L197" s="6">
        <v>112</v>
      </c>
      <c r="M197" s="6">
        <v>92</v>
      </c>
      <c r="N197" s="6">
        <v>91</v>
      </c>
      <c r="O197" s="6">
        <v>76</v>
      </c>
    </row>
    <row r="198" spans="1:15" x14ac:dyDescent="0.3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</row>
    <row r="199" spans="1:15" x14ac:dyDescent="0.3">
      <c r="A199" s="9" t="s">
        <v>29</v>
      </c>
      <c r="B199" s="9" t="s">
        <v>1</v>
      </c>
      <c r="C199" s="79" t="s">
        <v>2</v>
      </c>
      <c r="D199" s="74" t="s">
        <v>3</v>
      </c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</row>
    <row r="200" spans="1:15" x14ac:dyDescent="0.3">
      <c r="A200" s="67">
        <v>1</v>
      </c>
      <c r="B200" s="67" t="s">
        <v>28</v>
      </c>
      <c r="C200" s="79"/>
      <c r="D200" s="74" t="s">
        <v>4</v>
      </c>
      <c r="E200" s="74"/>
      <c r="F200" s="74"/>
      <c r="G200" s="74"/>
      <c r="H200" s="74" t="s">
        <v>11</v>
      </c>
      <c r="I200" s="74"/>
      <c r="J200" s="74"/>
      <c r="K200" s="74"/>
      <c r="L200" s="74" t="s">
        <v>12</v>
      </c>
      <c r="M200" s="74"/>
      <c r="N200" s="74"/>
      <c r="O200" s="74"/>
    </row>
    <row r="201" spans="1:15" x14ac:dyDescent="0.3">
      <c r="A201" s="68"/>
      <c r="B201" s="68"/>
      <c r="C201" s="79"/>
      <c r="D201" s="54" t="s">
        <v>5</v>
      </c>
      <c r="E201" s="54" t="s">
        <v>7</v>
      </c>
      <c r="F201" s="54" t="s">
        <v>8</v>
      </c>
      <c r="G201" s="54" t="s">
        <v>10</v>
      </c>
      <c r="H201" s="54" t="s">
        <v>5</v>
      </c>
      <c r="I201" s="54" t="s">
        <v>7</v>
      </c>
      <c r="J201" s="54" t="s">
        <v>8</v>
      </c>
      <c r="K201" s="54" t="s">
        <v>10</v>
      </c>
      <c r="L201" s="54" t="s">
        <v>5</v>
      </c>
      <c r="M201" s="54" t="s">
        <v>7</v>
      </c>
      <c r="N201" s="54" t="s">
        <v>8</v>
      </c>
      <c r="O201" s="54" t="s">
        <v>10</v>
      </c>
    </row>
    <row r="202" spans="1:15" ht="15.5" x14ac:dyDescent="0.3">
      <c r="A202" s="68"/>
      <c r="B202" s="68"/>
      <c r="C202" s="6" t="s">
        <v>13</v>
      </c>
      <c r="D202" s="6">
        <v>80</v>
      </c>
      <c r="E202" s="6">
        <v>72</v>
      </c>
      <c r="F202" s="6">
        <v>87</v>
      </c>
      <c r="G202" s="6">
        <v>82</v>
      </c>
      <c r="H202" s="6">
        <v>50</v>
      </c>
      <c r="I202" s="6">
        <v>76</v>
      </c>
      <c r="J202" s="6">
        <v>81</v>
      </c>
      <c r="K202" s="6">
        <v>72</v>
      </c>
      <c r="L202" s="6">
        <v>77</v>
      </c>
      <c r="M202" s="6">
        <v>75</v>
      </c>
      <c r="N202" s="6">
        <v>68</v>
      </c>
      <c r="O202" s="6">
        <v>81</v>
      </c>
    </row>
    <row r="203" spans="1:15" ht="15.5" x14ac:dyDescent="0.3">
      <c r="A203" s="68"/>
      <c r="B203" s="68"/>
      <c r="C203" s="6" t="s">
        <v>14</v>
      </c>
      <c r="D203" s="54">
        <v>72</v>
      </c>
      <c r="E203" s="54">
        <v>73</v>
      </c>
      <c r="F203" s="54">
        <v>70</v>
      </c>
      <c r="G203" s="54">
        <v>71</v>
      </c>
      <c r="H203" s="54">
        <v>72</v>
      </c>
      <c r="I203" s="54">
        <v>76</v>
      </c>
      <c r="J203" s="54">
        <v>77</v>
      </c>
      <c r="K203" s="54">
        <v>74</v>
      </c>
      <c r="L203" s="54">
        <v>73</v>
      </c>
      <c r="M203" s="54">
        <v>75</v>
      </c>
      <c r="N203" s="54">
        <v>70</v>
      </c>
      <c r="O203" s="54">
        <v>74</v>
      </c>
    </row>
    <row r="204" spans="1:15" ht="15.5" x14ac:dyDescent="0.3">
      <c r="A204" s="68"/>
      <c r="B204" s="68"/>
      <c r="C204" s="6" t="s">
        <v>15</v>
      </c>
      <c r="D204" s="54">
        <v>74</v>
      </c>
      <c r="E204" s="54">
        <v>75</v>
      </c>
      <c r="F204" s="54">
        <v>73</v>
      </c>
      <c r="G204" s="54">
        <v>76</v>
      </c>
      <c r="H204" s="54">
        <v>71</v>
      </c>
      <c r="I204" s="54">
        <v>70</v>
      </c>
      <c r="J204" s="54">
        <v>74</v>
      </c>
      <c r="K204" s="54">
        <v>76</v>
      </c>
      <c r="L204" s="54">
        <v>78</v>
      </c>
      <c r="M204" s="54">
        <v>80</v>
      </c>
      <c r="N204" s="54">
        <v>79</v>
      </c>
      <c r="O204" s="54">
        <v>68</v>
      </c>
    </row>
    <row r="205" spans="1:15" ht="15.5" x14ac:dyDescent="0.3">
      <c r="A205" s="68"/>
      <c r="B205" s="68"/>
      <c r="C205" s="6" t="s">
        <v>16</v>
      </c>
      <c r="D205" s="6">
        <v>75</v>
      </c>
      <c r="E205" s="6">
        <v>71</v>
      </c>
      <c r="F205" s="6">
        <v>72</v>
      </c>
      <c r="G205" s="6">
        <v>73</v>
      </c>
      <c r="H205" s="6">
        <v>108</v>
      </c>
      <c r="I205" s="6">
        <v>70</v>
      </c>
      <c r="J205" s="6">
        <v>75</v>
      </c>
      <c r="K205" s="6">
        <v>78</v>
      </c>
      <c r="L205" s="6">
        <v>59</v>
      </c>
      <c r="M205" s="6">
        <v>57</v>
      </c>
      <c r="N205" s="6">
        <v>76</v>
      </c>
      <c r="O205" s="6">
        <v>78</v>
      </c>
    </row>
    <row r="206" spans="1:15" ht="15.5" x14ac:dyDescent="0.3">
      <c r="A206" s="68"/>
      <c r="B206" s="68"/>
      <c r="C206" s="6" t="s">
        <v>17</v>
      </c>
      <c r="D206" s="6">
        <v>84</v>
      </c>
      <c r="E206" s="6">
        <v>72</v>
      </c>
      <c r="F206" s="6">
        <v>71</v>
      </c>
      <c r="G206" s="6">
        <v>76</v>
      </c>
      <c r="H206" s="6">
        <v>67</v>
      </c>
      <c r="I206" s="6">
        <v>66</v>
      </c>
      <c r="J206" s="6">
        <v>76</v>
      </c>
      <c r="K206" s="6">
        <v>59</v>
      </c>
      <c r="L206" s="6">
        <v>55</v>
      </c>
      <c r="M206" s="6">
        <v>56</v>
      </c>
      <c r="N206" s="6">
        <v>58</v>
      </c>
      <c r="O206" s="6">
        <v>70</v>
      </c>
    </row>
    <row r="207" spans="1:15" ht="15.5" x14ac:dyDescent="0.3">
      <c r="A207" s="68"/>
      <c r="B207" s="68"/>
      <c r="C207" s="6" t="s">
        <v>18</v>
      </c>
      <c r="D207" s="6">
        <v>69</v>
      </c>
      <c r="E207" s="6">
        <v>66</v>
      </c>
      <c r="F207" s="6">
        <v>68</v>
      </c>
      <c r="G207" s="6">
        <v>68</v>
      </c>
      <c r="H207" s="6">
        <v>91</v>
      </c>
      <c r="I207" s="6">
        <v>70</v>
      </c>
      <c r="J207" s="6">
        <v>69</v>
      </c>
      <c r="K207" s="6">
        <v>71</v>
      </c>
      <c r="L207" s="6">
        <v>52</v>
      </c>
      <c r="M207" s="6">
        <v>56</v>
      </c>
      <c r="N207" s="6">
        <v>56</v>
      </c>
      <c r="O207" s="6">
        <v>59</v>
      </c>
    </row>
    <row r="208" spans="1:15" ht="15.5" x14ac:dyDescent="0.3">
      <c r="A208" s="68"/>
      <c r="B208" s="68"/>
      <c r="C208" s="6" t="s">
        <v>19</v>
      </c>
      <c r="D208" s="6">
        <v>112</v>
      </c>
      <c r="E208" s="6">
        <v>113</v>
      </c>
      <c r="F208" s="6">
        <v>98</v>
      </c>
      <c r="G208" s="6">
        <v>89</v>
      </c>
      <c r="H208" s="6">
        <v>80</v>
      </c>
      <c r="I208" s="6">
        <v>96</v>
      </c>
      <c r="J208" s="6">
        <v>112</v>
      </c>
      <c r="K208" s="6">
        <v>111</v>
      </c>
      <c r="L208" s="6">
        <v>101</v>
      </c>
      <c r="M208" s="6">
        <v>107</v>
      </c>
      <c r="N208" s="6">
        <v>95</v>
      </c>
      <c r="O208" s="6">
        <v>86</v>
      </c>
    </row>
    <row r="209" spans="1:15" ht="15.5" x14ac:dyDescent="0.3">
      <c r="A209" s="68"/>
      <c r="B209" s="68"/>
      <c r="C209" s="6" t="s">
        <v>20</v>
      </c>
      <c r="D209" s="6">
        <v>130</v>
      </c>
      <c r="E209" s="6">
        <v>126</v>
      </c>
      <c r="F209" s="6">
        <v>110</v>
      </c>
      <c r="G209" s="6">
        <v>98</v>
      </c>
      <c r="H209" s="6">
        <v>90</v>
      </c>
      <c r="I209" s="6">
        <v>80</v>
      </c>
      <c r="J209" s="6">
        <v>95</v>
      </c>
      <c r="K209" s="6">
        <v>96</v>
      </c>
      <c r="L209" s="6">
        <v>100</v>
      </c>
      <c r="M209" s="6">
        <v>89</v>
      </c>
      <c r="N209" s="6">
        <v>102</v>
      </c>
      <c r="O209" s="6">
        <v>81</v>
      </c>
    </row>
    <row r="210" spans="1:15" ht="15.5" x14ac:dyDescent="0.3">
      <c r="A210" s="69"/>
      <c r="B210" s="69"/>
      <c r="C210" s="6" t="s">
        <v>21</v>
      </c>
      <c r="D210" s="6">
        <v>70</v>
      </c>
      <c r="E210" s="6">
        <v>95</v>
      </c>
      <c r="F210" s="6">
        <v>118</v>
      </c>
      <c r="G210" s="6">
        <v>106</v>
      </c>
      <c r="H210" s="6">
        <v>110</v>
      </c>
      <c r="I210" s="6">
        <v>74</v>
      </c>
      <c r="J210" s="6">
        <v>69</v>
      </c>
      <c r="K210" s="6">
        <v>75</v>
      </c>
      <c r="L210" s="6">
        <v>109</v>
      </c>
      <c r="M210" s="6">
        <v>96</v>
      </c>
      <c r="N210" s="6">
        <v>93</v>
      </c>
      <c r="O210" s="6">
        <v>85</v>
      </c>
    </row>
    <row r="211" spans="1:15" x14ac:dyDescent="0.3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</row>
    <row r="212" spans="1:15" x14ac:dyDescent="0.3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</row>
    <row r="213" spans="1:15" x14ac:dyDescent="0.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</row>
    <row r="214" spans="1:15" x14ac:dyDescent="0.3">
      <c r="A214" s="60"/>
      <c r="B214" s="60"/>
    </row>
  </sheetData>
  <mergeCells count="170">
    <mergeCell ref="AT36:AT38"/>
    <mergeCell ref="AT52:AT54"/>
    <mergeCell ref="C55:C57"/>
    <mergeCell ref="D55:AA55"/>
    <mergeCell ref="D56:K56"/>
    <mergeCell ref="L56:S56"/>
    <mergeCell ref="T56:AA56"/>
    <mergeCell ref="C42:C44"/>
    <mergeCell ref="D42:AA42"/>
    <mergeCell ref="D43:K43"/>
    <mergeCell ref="L43:S43"/>
    <mergeCell ref="T43:AA43"/>
    <mergeCell ref="C199:C201"/>
    <mergeCell ref="D199:O199"/>
    <mergeCell ref="D200:G200"/>
    <mergeCell ref="H200:K200"/>
    <mergeCell ref="L200:O200"/>
    <mergeCell ref="C186:C188"/>
    <mergeCell ref="D186:O186"/>
    <mergeCell ref="D187:G187"/>
    <mergeCell ref="H187:K187"/>
    <mergeCell ref="L187:O187"/>
    <mergeCell ref="C173:C175"/>
    <mergeCell ref="D173:O173"/>
    <mergeCell ref="D174:G174"/>
    <mergeCell ref="H174:K174"/>
    <mergeCell ref="L174:O174"/>
    <mergeCell ref="C160:C162"/>
    <mergeCell ref="D160:O160"/>
    <mergeCell ref="D161:G161"/>
    <mergeCell ref="H161:K161"/>
    <mergeCell ref="L161:O161"/>
    <mergeCell ref="C147:C149"/>
    <mergeCell ref="D147:O147"/>
    <mergeCell ref="D148:G148"/>
    <mergeCell ref="H148:K148"/>
    <mergeCell ref="L148:O148"/>
    <mergeCell ref="C134:C136"/>
    <mergeCell ref="D134:O134"/>
    <mergeCell ref="D135:G135"/>
    <mergeCell ref="H135:K135"/>
    <mergeCell ref="L135:O135"/>
    <mergeCell ref="AF100:AF102"/>
    <mergeCell ref="AG100:AR100"/>
    <mergeCell ref="AG101:AJ101"/>
    <mergeCell ref="AK101:AN101"/>
    <mergeCell ref="AO101:AR101"/>
    <mergeCell ref="C121:C123"/>
    <mergeCell ref="D121:O121"/>
    <mergeCell ref="D122:G122"/>
    <mergeCell ref="H122:K122"/>
    <mergeCell ref="L122:O122"/>
    <mergeCell ref="C108:C110"/>
    <mergeCell ref="D108:O108"/>
    <mergeCell ref="D109:G109"/>
    <mergeCell ref="H109:K109"/>
    <mergeCell ref="L109:O109"/>
    <mergeCell ref="AG85:AJ85"/>
    <mergeCell ref="AK85:AN85"/>
    <mergeCell ref="AO85:AR85"/>
    <mergeCell ref="AF68:AF70"/>
    <mergeCell ref="AG68:AR68"/>
    <mergeCell ref="AG69:AJ69"/>
    <mergeCell ref="AK69:AN69"/>
    <mergeCell ref="AO69:AR69"/>
    <mergeCell ref="C95:C97"/>
    <mergeCell ref="D95:O95"/>
    <mergeCell ref="D96:G96"/>
    <mergeCell ref="H96:K96"/>
    <mergeCell ref="L96:O96"/>
    <mergeCell ref="C81:C83"/>
    <mergeCell ref="D81:AA81"/>
    <mergeCell ref="D82:K82"/>
    <mergeCell ref="L82:S82"/>
    <mergeCell ref="T82:AA82"/>
    <mergeCell ref="C68:C70"/>
    <mergeCell ref="D68:AA68"/>
    <mergeCell ref="D69:K69"/>
    <mergeCell ref="A2:AA2"/>
    <mergeCell ref="AF4:AF6"/>
    <mergeCell ref="D3:AA3"/>
    <mergeCell ref="D4:K4"/>
    <mergeCell ref="L4:S4"/>
    <mergeCell ref="T4:AA4"/>
    <mergeCell ref="C3:C5"/>
    <mergeCell ref="AD3:AR3"/>
    <mergeCell ref="AG4:AR4"/>
    <mergeCell ref="AG5:AJ5"/>
    <mergeCell ref="AK5:AN5"/>
    <mergeCell ref="AO5:AR5"/>
    <mergeCell ref="D17:K17"/>
    <mergeCell ref="L17:S17"/>
    <mergeCell ref="T17:AA17"/>
    <mergeCell ref="C29:C31"/>
    <mergeCell ref="D29:AA29"/>
    <mergeCell ref="D30:K30"/>
    <mergeCell ref="C16:C18"/>
    <mergeCell ref="D16:AA16"/>
    <mergeCell ref="AT4:AT6"/>
    <mergeCell ref="AT20:AT22"/>
    <mergeCell ref="AT68:AT70"/>
    <mergeCell ref="AT84:AT86"/>
    <mergeCell ref="AT100:AT102"/>
    <mergeCell ref="L30:S30"/>
    <mergeCell ref="T30:AA30"/>
    <mergeCell ref="AF20:AF22"/>
    <mergeCell ref="AG20:AR20"/>
    <mergeCell ref="AG21:AJ21"/>
    <mergeCell ref="AK21:AN21"/>
    <mergeCell ref="AO21:AR21"/>
    <mergeCell ref="AF52:AF54"/>
    <mergeCell ref="AG52:AR52"/>
    <mergeCell ref="AG53:AJ53"/>
    <mergeCell ref="AK53:AN53"/>
    <mergeCell ref="AO53:AR53"/>
    <mergeCell ref="AF36:AF38"/>
    <mergeCell ref="AG36:AR36"/>
    <mergeCell ref="AG37:AJ37"/>
    <mergeCell ref="AK37:AN37"/>
    <mergeCell ref="AO37:AR37"/>
    <mergeCell ref="L69:S69"/>
    <mergeCell ref="T69:AA69"/>
    <mergeCell ref="AF84:AF86"/>
    <mergeCell ref="AG84:AR84"/>
    <mergeCell ref="A135:A145"/>
    <mergeCell ref="B135:B145"/>
    <mergeCell ref="A148:A158"/>
    <mergeCell ref="B148:B158"/>
    <mergeCell ref="A161:A171"/>
    <mergeCell ref="B161:B171"/>
    <mergeCell ref="A4:A14"/>
    <mergeCell ref="B4:B14"/>
    <mergeCell ref="A17:A27"/>
    <mergeCell ref="B17:B27"/>
    <mergeCell ref="A30:A40"/>
    <mergeCell ref="B30:B40"/>
    <mergeCell ref="A43:A53"/>
    <mergeCell ref="B43:B53"/>
    <mergeCell ref="A56:A66"/>
    <mergeCell ref="B56:B66"/>
    <mergeCell ref="A69:A79"/>
    <mergeCell ref="B69:B79"/>
    <mergeCell ref="A82:A92"/>
    <mergeCell ref="B82:B92"/>
    <mergeCell ref="A96:A106"/>
    <mergeCell ref="B96:B106"/>
    <mergeCell ref="A174:A184"/>
    <mergeCell ref="B174:B184"/>
    <mergeCell ref="A187:A197"/>
    <mergeCell ref="B187:B197"/>
    <mergeCell ref="A200:A210"/>
    <mergeCell ref="B200:B210"/>
    <mergeCell ref="AD5:AD17"/>
    <mergeCell ref="AE5:AE17"/>
    <mergeCell ref="AD21:AD33"/>
    <mergeCell ref="AE21:AE33"/>
    <mergeCell ref="AD37:AD49"/>
    <mergeCell ref="AE37:AE49"/>
    <mergeCell ref="AD53:AD65"/>
    <mergeCell ref="AE53:AE65"/>
    <mergeCell ref="AD69:AD81"/>
    <mergeCell ref="AE69:AE81"/>
    <mergeCell ref="AD85:AD97"/>
    <mergeCell ref="AE85:AE97"/>
    <mergeCell ref="AD101:AD113"/>
    <mergeCell ref="AE101:AE113"/>
    <mergeCell ref="A109:A119"/>
    <mergeCell ref="B109:B119"/>
    <mergeCell ref="A122:A132"/>
    <mergeCell ref="B122:B1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A347-2359-4ECB-BBA1-82CA999DDFAD}">
  <dimension ref="A1:T135"/>
  <sheetViews>
    <sheetView topLeftCell="O127" zoomScale="57" workbookViewId="0">
      <selection activeCell="AP144" sqref="S1:AP144"/>
    </sheetView>
  </sheetViews>
  <sheetFormatPr defaultRowHeight="14" x14ac:dyDescent="0.3"/>
  <cols>
    <col min="1" max="1" width="8.7265625" style="17"/>
    <col min="2" max="2" width="26.26953125" style="17" customWidth="1"/>
    <col min="3" max="3" width="10.453125" style="17" customWidth="1"/>
    <col min="4" max="18" width="8.7265625" style="17"/>
    <col min="19" max="19" width="12.08984375" style="17" customWidth="1"/>
    <col min="20" max="20" width="10.90625" style="17" customWidth="1"/>
    <col min="21" max="21" width="8.7265625" style="17"/>
    <col min="22" max="22" width="9.54296875" style="17" customWidth="1"/>
    <col min="23" max="23" width="7.7265625" style="17" customWidth="1"/>
    <col min="24" max="24" width="7.6328125" style="17" customWidth="1"/>
    <col min="25" max="25" width="7.453125" style="17" customWidth="1"/>
    <col min="26" max="26" width="7.08984375" style="17" customWidth="1"/>
    <col min="27" max="27" width="8.81640625" style="17" customWidth="1"/>
    <col min="28" max="28" width="8" style="17" customWidth="1"/>
    <col min="29" max="29" width="10.08984375" style="17" customWidth="1"/>
    <col min="30" max="30" width="6.26953125" style="17" customWidth="1"/>
    <col min="31" max="32" width="9.6328125" style="17" customWidth="1"/>
    <col min="33" max="33" width="8.26953125" style="17" customWidth="1"/>
    <col min="34" max="34" width="8.7265625" style="17"/>
    <col min="35" max="35" width="7.90625" style="17" customWidth="1"/>
    <col min="36" max="36" width="8" style="17" customWidth="1"/>
    <col min="37" max="37" width="17.453125" style="17" customWidth="1"/>
    <col min="38" max="38" width="8.7265625" style="17"/>
    <col min="39" max="39" width="9.6328125" style="17" customWidth="1"/>
    <col min="40" max="40" width="9.7265625" style="17" customWidth="1"/>
    <col min="41" max="41" width="9.6328125" style="17" customWidth="1"/>
    <col min="42" max="42" width="12.81640625" style="17" customWidth="1"/>
    <col min="43" max="16384" width="8.7265625" style="17"/>
  </cols>
  <sheetData>
    <row r="1" spans="1:20" x14ac:dyDescent="0.3">
      <c r="A1" s="17" t="s">
        <v>58</v>
      </c>
    </row>
    <row r="2" spans="1:20" x14ac:dyDescent="0.3">
      <c r="A2" s="3" t="s">
        <v>29</v>
      </c>
      <c r="B2" s="3" t="s">
        <v>35</v>
      </c>
      <c r="C2" s="70" t="s">
        <v>2</v>
      </c>
      <c r="D2" s="84" t="s">
        <v>61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  <c r="P2" s="70" t="s">
        <v>48</v>
      </c>
      <c r="Q2" s="70" t="s">
        <v>47</v>
      </c>
    </row>
    <row r="3" spans="1:20" x14ac:dyDescent="0.3">
      <c r="A3" s="70">
        <v>1</v>
      </c>
      <c r="B3" s="90" t="s">
        <v>50</v>
      </c>
      <c r="C3" s="71"/>
      <c r="D3" s="84" t="s">
        <v>4</v>
      </c>
      <c r="E3" s="85"/>
      <c r="F3" s="85"/>
      <c r="G3" s="86"/>
      <c r="H3" s="84" t="s">
        <v>11</v>
      </c>
      <c r="I3" s="85"/>
      <c r="J3" s="85"/>
      <c r="K3" s="86"/>
      <c r="L3" s="84" t="s">
        <v>12</v>
      </c>
      <c r="M3" s="85"/>
      <c r="N3" s="85"/>
      <c r="O3" s="86"/>
      <c r="P3" s="71"/>
      <c r="Q3" s="71"/>
    </row>
    <row r="4" spans="1:20" x14ac:dyDescent="0.3">
      <c r="A4" s="71"/>
      <c r="B4" s="91"/>
      <c r="C4" s="72"/>
      <c r="D4" s="3" t="s">
        <v>5</v>
      </c>
      <c r="E4" s="3" t="s">
        <v>7</v>
      </c>
      <c r="F4" s="3" t="s">
        <v>8</v>
      </c>
      <c r="G4" s="3" t="s">
        <v>10</v>
      </c>
      <c r="H4" s="3" t="s">
        <v>5</v>
      </c>
      <c r="I4" s="3" t="s">
        <v>7</v>
      </c>
      <c r="J4" s="3" t="s">
        <v>8</v>
      </c>
      <c r="K4" s="3" t="s">
        <v>10</v>
      </c>
      <c r="L4" s="3" t="s">
        <v>5</v>
      </c>
      <c r="M4" s="3" t="s">
        <v>7</v>
      </c>
      <c r="N4" s="3" t="s">
        <v>8</v>
      </c>
      <c r="O4" s="3" t="s">
        <v>10</v>
      </c>
      <c r="P4" s="72"/>
      <c r="Q4" s="72"/>
    </row>
    <row r="5" spans="1:20" ht="15.5" x14ac:dyDescent="0.3">
      <c r="A5" s="71"/>
      <c r="B5" s="91"/>
      <c r="C5" s="2" t="s">
        <v>13</v>
      </c>
      <c r="D5" s="6">
        <v>17</v>
      </c>
      <c r="E5" s="6">
        <v>20</v>
      </c>
      <c r="F5" s="6">
        <v>23</v>
      </c>
      <c r="G5" s="6">
        <v>20</v>
      </c>
      <c r="H5" s="6">
        <v>11</v>
      </c>
      <c r="I5" s="6">
        <v>6</v>
      </c>
      <c r="J5" s="6">
        <v>6</v>
      </c>
      <c r="K5" s="6">
        <v>12</v>
      </c>
      <c r="L5" s="6">
        <v>26</v>
      </c>
      <c r="M5" s="6">
        <v>13</v>
      </c>
      <c r="N5" s="6">
        <v>19</v>
      </c>
      <c r="O5" s="6">
        <v>17</v>
      </c>
      <c r="P5" s="2">
        <f>SUM(D5:O5)</f>
        <v>190</v>
      </c>
      <c r="Q5" s="63">
        <f>AVERAGE(D5:O5)</f>
        <v>15.833333333333334</v>
      </c>
    </row>
    <row r="6" spans="1:20" x14ac:dyDescent="0.3">
      <c r="A6" s="71"/>
      <c r="B6" s="91"/>
      <c r="C6" s="2" t="s">
        <v>14</v>
      </c>
      <c r="D6" s="54">
        <v>13</v>
      </c>
      <c r="E6" s="54">
        <v>16</v>
      </c>
      <c r="F6" s="54">
        <v>17</v>
      </c>
      <c r="G6" s="54">
        <v>18</v>
      </c>
      <c r="H6" s="54">
        <v>10</v>
      </c>
      <c r="I6" s="54">
        <v>8</v>
      </c>
      <c r="J6" s="54">
        <v>9</v>
      </c>
      <c r="K6" s="54">
        <v>13</v>
      </c>
      <c r="L6" s="54">
        <v>19</v>
      </c>
      <c r="M6" s="54">
        <v>14</v>
      </c>
      <c r="N6" s="54">
        <v>15</v>
      </c>
      <c r="O6" s="54">
        <v>17</v>
      </c>
      <c r="P6" s="2">
        <f t="shared" ref="P6:P13" si="0">SUM(D6:O6)</f>
        <v>169</v>
      </c>
      <c r="Q6" s="63">
        <f t="shared" ref="Q6:Q13" si="1">AVERAGE(D6:O6)</f>
        <v>14.083333333333334</v>
      </c>
    </row>
    <row r="7" spans="1:20" x14ac:dyDescent="0.3">
      <c r="A7" s="71"/>
      <c r="B7" s="91"/>
      <c r="C7" s="2" t="s">
        <v>15</v>
      </c>
      <c r="D7" s="54">
        <v>15</v>
      </c>
      <c r="E7" s="54">
        <v>14</v>
      </c>
      <c r="F7" s="54">
        <v>16</v>
      </c>
      <c r="G7" s="54">
        <v>15</v>
      </c>
      <c r="H7" s="54">
        <v>12</v>
      </c>
      <c r="I7" s="54">
        <v>9</v>
      </c>
      <c r="J7" s="54">
        <v>9</v>
      </c>
      <c r="K7" s="54">
        <v>13</v>
      </c>
      <c r="L7" s="54">
        <v>20</v>
      </c>
      <c r="M7" s="54">
        <v>10</v>
      </c>
      <c r="N7" s="54">
        <v>15</v>
      </c>
      <c r="O7" s="54">
        <v>14</v>
      </c>
      <c r="P7" s="2">
        <f t="shared" si="0"/>
        <v>162</v>
      </c>
      <c r="Q7" s="63">
        <f t="shared" si="1"/>
        <v>13.5</v>
      </c>
    </row>
    <row r="8" spans="1:20" ht="15.5" x14ac:dyDescent="0.3">
      <c r="A8" s="71"/>
      <c r="B8" s="91"/>
      <c r="C8" s="2" t="s">
        <v>16</v>
      </c>
      <c r="D8" s="6">
        <v>10</v>
      </c>
      <c r="E8" s="6">
        <v>12</v>
      </c>
      <c r="F8" s="6">
        <v>11</v>
      </c>
      <c r="G8" s="6">
        <v>13</v>
      </c>
      <c r="H8" s="6">
        <v>26</v>
      </c>
      <c r="I8" s="6">
        <v>13</v>
      </c>
      <c r="J8" s="6">
        <v>13</v>
      </c>
      <c r="K8" s="6">
        <v>19</v>
      </c>
      <c r="L8" s="6">
        <v>15</v>
      </c>
      <c r="M8" s="6">
        <v>15</v>
      </c>
      <c r="N8" s="6">
        <v>19</v>
      </c>
      <c r="O8" s="6">
        <v>19</v>
      </c>
      <c r="P8" s="2">
        <f t="shared" si="0"/>
        <v>185</v>
      </c>
      <c r="Q8" s="63">
        <f t="shared" si="1"/>
        <v>15.416666666666666</v>
      </c>
      <c r="S8" s="55"/>
      <c r="T8" s="49"/>
    </row>
    <row r="9" spans="1:20" ht="15.5" x14ac:dyDescent="0.3">
      <c r="A9" s="71"/>
      <c r="B9" s="91"/>
      <c r="C9" s="2" t="s">
        <v>17</v>
      </c>
      <c r="D9" s="6">
        <v>17</v>
      </c>
      <c r="E9" s="6">
        <v>17</v>
      </c>
      <c r="F9" s="6">
        <v>23</v>
      </c>
      <c r="G9" s="6">
        <v>16</v>
      </c>
      <c r="H9" s="6">
        <v>14</v>
      </c>
      <c r="I9" s="6">
        <v>12</v>
      </c>
      <c r="J9" s="6">
        <v>15</v>
      </c>
      <c r="K9" s="6">
        <v>20</v>
      </c>
      <c r="L9" s="6">
        <v>26</v>
      </c>
      <c r="M9" s="6">
        <v>27</v>
      </c>
      <c r="N9" s="6">
        <v>21</v>
      </c>
      <c r="O9" s="6">
        <v>17</v>
      </c>
      <c r="P9" s="2">
        <f t="shared" si="0"/>
        <v>225</v>
      </c>
      <c r="Q9" s="63">
        <f t="shared" si="1"/>
        <v>18.75</v>
      </c>
      <c r="S9" s="56"/>
    </row>
    <row r="10" spans="1:20" ht="15.5" x14ac:dyDescent="0.3">
      <c r="A10" s="71"/>
      <c r="B10" s="91"/>
      <c r="C10" s="2" t="s">
        <v>18</v>
      </c>
      <c r="D10" s="6">
        <v>14</v>
      </c>
      <c r="E10" s="6">
        <v>14</v>
      </c>
      <c r="F10" s="6">
        <v>25</v>
      </c>
      <c r="G10" s="6">
        <v>17</v>
      </c>
      <c r="H10" s="6">
        <v>11</v>
      </c>
      <c r="I10" s="6">
        <v>11</v>
      </c>
      <c r="J10" s="6">
        <v>17</v>
      </c>
      <c r="K10" s="6">
        <v>21</v>
      </c>
      <c r="L10" s="6">
        <v>11</v>
      </c>
      <c r="M10" s="6">
        <v>12</v>
      </c>
      <c r="N10" s="6">
        <v>17</v>
      </c>
      <c r="O10" s="6">
        <v>15</v>
      </c>
      <c r="P10" s="2">
        <f t="shared" si="0"/>
        <v>185</v>
      </c>
      <c r="Q10" s="63">
        <f t="shared" si="1"/>
        <v>15.416666666666666</v>
      </c>
      <c r="S10" s="56"/>
    </row>
    <row r="11" spans="1:20" ht="15.5" x14ac:dyDescent="0.3">
      <c r="A11" s="71"/>
      <c r="B11" s="91"/>
      <c r="C11" s="2" t="s">
        <v>19</v>
      </c>
      <c r="D11" s="6">
        <v>21</v>
      </c>
      <c r="E11" s="6">
        <v>16</v>
      </c>
      <c r="F11" s="6">
        <v>16</v>
      </c>
      <c r="G11" s="6">
        <v>15</v>
      </c>
      <c r="H11" s="6">
        <v>12</v>
      </c>
      <c r="I11" s="6">
        <v>15</v>
      </c>
      <c r="J11" s="6">
        <v>10</v>
      </c>
      <c r="K11" s="6">
        <v>19</v>
      </c>
      <c r="L11" s="6">
        <v>15</v>
      </c>
      <c r="M11" s="6">
        <v>11</v>
      </c>
      <c r="N11" s="6">
        <v>18</v>
      </c>
      <c r="O11" s="6">
        <v>18</v>
      </c>
      <c r="P11" s="2">
        <f t="shared" si="0"/>
        <v>186</v>
      </c>
      <c r="Q11" s="63">
        <f t="shared" si="1"/>
        <v>15.5</v>
      </c>
      <c r="S11" s="56"/>
    </row>
    <row r="12" spans="1:20" ht="15.5" x14ac:dyDescent="0.3">
      <c r="A12" s="71"/>
      <c r="B12" s="91"/>
      <c r="C12" s="2" t="s">
        <v>20</v>
      </c>
      <c r="D12" s="6">
        <v>21</v>
      </c>
      <c r="E12" s="6">
        <v>20</v>
      </c>
      <c r="F12" s="6">
        <v>18</v>
      </c>
      <c r="G12" s="6">
        <v>19</v>
      </c>
      <c r="H12" s="6">
        <v>16</v>
      </c>
      <c r="I12" s="6">
        <v>13</v>
      </c>
      <c r="J12" s="6">
        <v>14</v>
      </c>
      <c r="K12" s="6">
        <v>17</v>
      </c>
      <c r="L12" s="6">
        <v>20</v>
      </c>
      <c r="M12" s="6">
        <v>16</v>
      </c>
      <c r="N12" s="6">
        <v>15</v>
      </c>
      <c r="O12" s="6">
        <v>14</v>
      </c>
      <c r="P12" s="2">
        <f t="shared" si="0"/>
        <v>203</v>
      </c>
      <c r="Q12" s="63">
        <f t="shared" si="1"/>
        <v>16.916666666666668</v>
      </c>
      <c r="S12" s="56"/>
    </row>
    <row r="13" spans="1:20" ht="15.5" x14ac:dyDescent="0.3">
      <c r="A13" s="71"/>
      <c r="B13" s="91"/>
      <c r="C13" s="2" t="s">
        <v>21</v>
      </c>
      <c r="D13" s="6">
        <v>20</v>
      </c>
      <c r="E13" s="6">
        <v>26</v>
      </c>
      <c r="F13" s="6">
        <v>14</v>
      </c>
      <c r="G13" s="6">
        <v>21</v>
      </c>
      <c r="H13" s="6">
        <v>15</v>
      </c>
      <c r="I13" s="6">
        <v>12</v>
      </c>
      <c r="J13" s="6">
        <v>17</v>
      </c>
      <c r="K13" s="6">
        <v>18</v>
      </c>
      <c r="L13" s="6">
        <v>30</v>
      </c>
      <c r="M13" s="6">
        <v>18</v>
      </c>
      <c r="N13" s="6">
        <v>18</v>
      </c>
      <c r="O13" s="6">
        <v>22</v>
      </c>
      <c r="P13" s="2">
        <f t="shared" si="0"/>
        <v>231</v>
      </c>
      <c r="Q13" s="63">
        <f t="shared" si="1"/>
        <v>19.25</v>
      </c>
      <c r="S13" s="56"/>
    </row>
    <row r="14" spans="1:20" x14ac:dyDescent="0.3">
      <c r="A14" s="71"/>
      <c r="B14" s="91"/>
      <c r="C14" s="2" t="s">
        <v>48</v>
      </c>
      <c r="D14" s="2">
        <f>SUM(D5:D13)</f>
        <v>148</v>
      </c>
      <c r="E14" s="2">
        <f t="shared" ref="E14:O14" si="2">SUM(E5:E13)</f>
        <v>155</v>
      </c>
      <c r="F14" s="2">
        <f t="shared" si="2"/>
        <v>163</v>
      </c>
      <c r="G14" s="2">
        <f t="shared" si="2"/>
        <v>154</v>
      </c>
      <c r="H14" s="2">
        <f t="shared" si="2"/>
        <v>127</v>
      </c>
      <c r="I14" s="2">
        <f t="shared" si="2"/>
        <v>99</v>
      </c>
      <c r="J14" s="2">
        <f t="shared" si="2"/>
        <v>110</v>
      </c>
      <c r="K14" s="2">
        <f t="shared" si="2"/>
        <v>152</v>
      </c>
      <c r="L14" s="2">
        <f t="shared" si="2"/>
        <v>182</v>
      </c>
      <c r="M14" s="2">
        <f t="shared" si="2"/>
        <v>136</v>
      </c>
      <c r="N14" s="2">
        <f t="shared" si="2"/>
        <v>157</v>
      </c>
      <c r="O14" s="2">
        <f t="shared" si="2"/>
        <v>153</v>
      </c>
      <c r="P14" s="2">
        <f>SUM(P5:P13)</f>
        <v>1736</v>
      </c>
      <c r="Q14" s="63"/>
      <c r="S14" s="56"/>
    </row>
    <row r="15" spans="1:20" x14ac:dyDescent="0.3">
      <c r="A15" s="72"/>
      <c r="B15" s="92"/>
      <c r="C15" s="2" t="s">
        <v>47</v>
      </c>
      <c r="D15" s="63">
        <f>AVERAGE(D5:D13)</f>
        <v>16.444444444444443</v>
      </c>
      <c r="E15" s="63">
        <f t="shared" ref="E15:O15" si="3">AVERAGE(E5:E13)</f>
        <v>17.222222222222221</v>
      </c>
      <c r="F15" s="63">
        <f t="shared" si="3"/>
        <v>18.111111111111111</v>
      </c>
      <c r="G15" s="63">
        <f t="shared" si="3"/>
        <v>17.111111111111111</v>
      </c>
      <c r="H15" s="63">
        <f t="shared" si="3"/>
        <v>14.111111111111111</v>
      </c>
      <c r="I15" s="63">
        <f t="shared" si="3"/>
        <v>11</v>
      </c>
      <c r="J15" s="63">
        <f t="shared" si="3"/>
        <v>12.222222222222221</v>
      </c>
      <c r="K15" s="63">
        <f t="shared" si="3"/>
        <v>16.888888888888889</v>
      </c>
      <c r="L15" s="63">
        <f t="shared" si="3"/>
        <v>20.222222222222221</v>
      </c>
      <c r="M15" s="63">
        <f t="shared" si="3"/>
        <v>15.111111111111111</v>
      </c>
      <c r="N15" s="63">
        <f t="shared" si="3"/>
        <v>17.444444444444443</v>
      </c>
      <c r="O15" s="63">
        <f t="shared" si="3"/>
        <v>17</v>
      </c>
      <c r="P15" s="2"/>
      <c r="Q15" s="63"/>
      <c r="S15" s="56"/>
    </row>
    <row r="16" spans="1:20" x14ac:dyDescent="0.3">
      <c r="Q16" s="55"/>
      <c r="S16" s="56"/>
    </row>
    <row r="17" spans="1:17" x14ac:dyDescent="0.3">
      <c r="A17" s="3" t="s">
        <v>29</v>
      </c>
      <c r="B17" s="3" t="s">
        <v>35</v>
      </c>
      <c r="C17" s="70" t="s">
        <v>2</v>
      </c>
      <c r="D17" s="84" t="s">
        <v>3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6"/>
      <c r="P17" s="70" t="s">
        <v>48</v>
      </c>
      <c r="Q17" s="87" t="s">
        <v>47</v>
      </c>
    </row>
    <row r="18" spans="1:17" x14ac:dyDescent="0.3">
      <c r="A18" s="70">
        <v>2</v>
      </c>
      <c r="B18" s="90" t="s">
        <v>49</v>
      </c>
      <c r="C18" s="71"/>
      <c r="D18" s="84" t="s">
        <v>4</v>
      </c>
      <c r="E18" s="85"/>
      <c r="F18" s="85"/>
      <c r="G18" s="86"/>
      <c r="H18" s="84" t="s">
        <v>11</v>
      </c>
      <c r="I18" s="85"/>
      <c r="J18" s="85"/>
      <c r="K18" s="86"/>
      <c r="L18" s="84" t="s">
        <v>12</v>
      </c>
      <c r="M18" s="85"/>
      <c r="N18" s="85"/>
      <c r="O18" s="86"/>
      <c r="P18" s="71"/>
      <c r="Q18" s="88"/>
    </row>
    <row r="19" spans="1:17" x14ac:dyDescent="0.3">
      <c r="A19" s="71"/>
      <c r="B19" s="91"/>
      <c r="C19" s="72"/>
      <c r="D19" s="3" t="s">
        <v>5</v>
      </c>
      <c r="E19" s="3" t="s">
        <v>7</v>
      </c>
      <c r="F19" s="3" t="s">
        <v>8</v>
      </c>
      <c r="G19" s="3" t="s">
        <v>10</v>
      </c>
      <c r="H19" s="3" t="s">
        <v>5</v>
      </c>
      <c r="I19" s="3" t="s">
        <v>7</v>
      </c>
      <c r="J19" s="3" t="s">
        <v>8</v>
      </c>
      <c r="K19" s="3" t="s">
        <v>10</v>
      </c>
      <c r="L19" s="3" t="s">
        <v>5</v>
      </c>
      <c r="M19" s="3" t="s">
        <v>7</v>
      </c>
      <c r="N19" s="3" t="s">
        <v>8</v>
      </c>
      <c r="O19" s="3" t="s">
        <v>10</v>
      </c>
      <c r="P19" s="72"/>
      <c r="Q19" s="89"/>
    </row>
    <row r="20" spans="1:17" ht="15.5" x14ac:dyDescent="0.3">
      <c r="A20" s="71"/>
      <c r="B20" s="91"/>
      <c r="C20" s="2" t="s">
        <v>13</v>
      </c>
      <c r="D20" s="6">
        <v>32</v>
      </c>
      <c r="E20" s="6">
        <v>32</v>
      </c>
      <c r="F20" s="6">
        <v>49</v>
      </c>
      <c r="G20" s="6">
        <v>47</v>
      </c>
      <c r="H20" s="6">
        <v>15</v>
      </c>
      <c r="I20" s="6">
        <v>40</v>
      </c>
      <c r="J20" s="6">
        <v>29</v>
      </c>
      <c r="K20" s="6">
        <v>39</v>
      </c>
      <c r="L20" s="6">
        <v>34</v>
      </c>
      <c r="M20" s="6">
        <v>47</v>
      </c>
      <c r="N20" s="6">
        <v>31</v>
      </c>
      <c r="O20" s="6">
        <v>40</v>
      </c>
      <c r="P20" s="2">
        <f>SUM(D20:O20)</f>
        <v>435</v>
      </c>
      <c r="Q20" s="63">
        <f>AVERAGE(D20:O20)</f>
        <v>36.25</v>
      </c>
    </row>
    <row r="21" spans="1:17" x14ac:dyDescent="0.3">
      <c r="A21" s="71"/>
      <c r="B21" s="91"/>
      <c r="C21" s="2" t="s">
        <v>14</v>
      </c>
      <c r="D21" s="54">
        <v>20</v>
      </c>
      <c r="E21" s="54">
        <v>22</v>
      </c>
      <c r="F21" s="54">
        <v>26</v>
      </c>
      <c r="G21" s="54">
        <v>32</v>
      </c>
      <c r="H21" s="54">
        <v>24</v>
      </c>
      <c r="I21" s="54">
        <v>22</v>
      </c>
      <c r="J21" s="54">
        <v>25</v>
      </c>
      <c r="K21" s="54">
        <v>24</v>
      </c>
      <c r="L21" s="54">
        <v>28</v>
      </c>
      <c r="M21" s="54">
        <v>30</v>
      </c>
      <c r="N21" s="54">
        <v>28</v>
      </c>
      <c r="O21" s="54">
        <v>26</v>
      </c>
      <c r="P21" s="2">
        <f t="shared" ref="P21:P29" si="4">SUM(D21:O21)</f>
        <v>307</v>
      </c>
      <c r="Q21" s="63">
        <f t="shared" ref="Q21:Q28" si="5">AVERAGE(D21:O21)</f>
        <v>25.583333333333332</v>
      </c>
    </row>
    <row r="22" spans="1:17" x14ac:dyDescent="0.3">
      <c r="A22" s="71"/>
      <c r="B22" s="91"/>
      <c r="C22" s="2" t="s">
        <v>15</v>
      </c>
      <c r="D22" s="54">
        <v>23</v>
      </c>
      <c r="E22" s="54">
        <v>24</v>
      </c>
      <c r="F22" s="54">
        <v>24</v>
      </c>
      <c r="G22" s="54">
        <v>26</v>
      </c>
      <c r="H22" s="54">
        <v>30</v>
      </c>
      <c r="I22" s="54">
        <v>29</v>
      </c>
      <c r="J22" s="54">
        <v>27</v>
      </c>
      <c r="K22" s="54">
        <v>29</v>
      </c>
      <c r="L22" s="54">
        <v>25</v>
      </c>
      <c r="M22" s="54">
        <v>26</v>
      </c>
      <c r="N22" s="54">
        <v>31</v>
      </c>
      <c r="O22" s="54">
        <v>38</v>
      </c>
      <c r="P22" s="2">
        <f t="shared" si="4"/>
        <v>332</v>
      </c>
      <c r="Q22" s="63">
        <f t="shared" si="5"/>
        <v>27.666666666666668</v>
      </c>
    </row>
    <row r="23" spans="1:17" ht="15.5" x14ac:dyDescent="0.3">
      <c r="A23" s="71"/>
      <c r="B23" s="91"/>
      <c r="C23" s="2" t="s">
        <v>16</v>
      </c>
      <c r="D23" s="6">
        <v>25</v>
      </c>
      <c r="E23" s="6">
        <v>17</v>
      </c>
      <c r="F23" s="6">
        <v>16</v>
      </c>
      <c r="G23" s="6">
        <v>33</v>
      </c>
      <c r="H23" s="6">
        <v>34</v>
      </c>
      <c r="I23" s="6">
        <v>49</v>
      </c>
      <c r="J23" s="6">
        <v>36</v>
      </c>
      <c r="K23" s="6">
        <v>40</v>
      </c>
      <c r="L23" s="6">
        <v>40</v>
      </c>
      <c r="M23" s="6">
        <v>25</v>
      </c>
      <c r="N23" s="6">
        <v>34</v>
      </c>
      <c r="O23" s="6">
        <v>27</v>
      </c>
      <c r="P23" s="2">
        <f t="shared" si="4"/>
        <v>376</v>
      </c>
      <c r="Q23" s="63">
        <f t="shared" si="5"/>
        <v>31.333333333333332</v>
      </c>
    </row>
    <row r="24" spans="1:17" ht="15.5" x14ac:dyDescent="0.3">
      <c r="A24" s="71"/>
      <c r="B24" s="91"/>
      <c r="C24" s="2" t="s">
        <v>17</v>
      </c>
      <c r="D24" s="6">
        <v>33</v>
      </c>
      <c r="E24" s="6">
        <v>27</v>
      </c>
      <c r="F24" s="6">
        <v>42</v>
      </c>
      <c r="G24" s="6">
        <v>35</v>
      </c>
      <c r="H24" s="6">
        <v>38</v>
      </c>
      <c r="I24" s="6">
        <v>45</v>
      </c>
      <c r="J24" s="6">
        <v>33</v>
      </c>
      <c r="K24" s="6">
        <v>42</v>
      </c>
      <c r="L24" s="6">
        <v>33</v>
      </c>
      <c r="M24" s="6">
        <v>37</v>
      </c>
      <c r="N24" s="6">
        <v>24</v>
      </c>
      <c r="O24" s="6">
        <v>30</v>
      </c>
      <c r="P24" s="2">
        <f t="shared" si="4"/>
        <v>419</v>
      </c>
      <c r="Q24" s="63">
        <f t="shared" si="5"/>
        <v>34.916666666666664</v>
      </c>
    </row>
    <row r="25" spans="1:17" ht="15.5" x14ac:dyDescent="0.3">
      <c r="A25" s="71"/>
      <c r="B25" s="91"/>
      <c r="C25" s="2" t="s">
        <v>18</v>
      </c>
      <c r="D25" s="6">
        <v>23</v>
      </c>
      <c r="E25" s="6">
        <v>28</v>
      </c>
      <c r="F25" s="6">
        <v>33</v>
      </c>
      <c r="G25" s="6">
        <v>35</v>
      </c>
      <c r="H25" s="6">
        <v>41</v>
      </c>
      <c r="I25" s="6">
        <v>38</v>
      </c>
      <c r="J25" s="6">
        <v>39</v>
      </c>
      <c r="K25" s="6">
        <v>40</v>
      </c>
      <c r="L25" s="6">
        <v>25</v>
      </c>
      <c r="M25" s="6">
        <v>29</v>
      </c>
      <c r="N25" s="6">
        <v>32</v>
      </c>
      <c r="O25" s="6">
        <v>29</v>
      </c>
      <c r="P25" s="2">
        <f t="shared" si="4"/>
        <v>392</v>
      </c>
      <c r="Q25" s="63">
        <f t="shared" si="5"/>
        <v>32.666666666666664</v>
      </c>
    </row>
    <row r="26" spans="1:17" ht="15.5" x14ac:dyDescent="0.3">
      <c r="A26" s="71"/>
      <c r="B26" s="91"/>
      <c r="C26" s="2" t="s">
        <v>19</v>
      </c>
      <c r="D26" s="6">
        <v>35</v>
      </c>
      <c r="E26" s="6">
        <v>25</v>
      </c>
      <c r="F26" s="6">
        <v>31</v>
      </c>
      <c r="G26" s="6">
        <v>42</v>
      </c>
      <c r="H26" s="6">
        <v>21</v>
      </c>
      <c r="I26" s="6">
        <v>30</v>
      </c>
      <c r="J26" s="6">
        <v>37</v>
      </c>
      <c r="K26" s="6">
        <v>37</v>
      </c>
      <c r="L26" s="6">
        <v>45</v>
      </c>
      <c r="M26" s="6">
        <v>34</v>
      </c>
      <c r="N26" s="6">
        <v>30</v>
      </c>
      <c r="O26" s="6">
        <v>27</v>
      </c>
      <c r="P26" s="2">
        <f t="shared" si="4"/>
        <v>394</v>
      </c>
      <c r="Q26" s="63">
        <f t="shared" si="5"/>
        <v>32.833333333333336</v>
      </c>
    </row>
    <row r="27" spans="1:17" ht="15.5" x14ac:dyDescent="0.3">
      <c r="A27" s="71"/>
      <c r="B27" s="91"/>
      <c r="C27" s="2" t="s">
        <v>20</v>
      </c>
      <c r="D27" s="6">
        <v>42</v>
      </c>
      <c r="E27" s="6">
        <v>31</v>
      </c>
      <c r="F27" s="6">
        <v>35</v>
      </c>
      <c r="G27" s="6">
        <v>38</v>
      </c>
      <c r="H27" s="6">
        <v>38</v>
      </c>
      <c r="I27" s="6">
        <v>32</v>
      </c>
      <c r="J27" s="6">
        <v>25</v>
      </c>
      <c r="K27" s="6">
        <v>35</v>
      </c>
      <c r="L27" s="6">
        <v>28</v>
      </c>
      <c r="M27" s="6">
        <v>32</v>
      </c>
      <c r="N27" s="6">
        <v>31</v>
      </c>
      <c r="O27" s="6">
        <v>32</v>
      </c>
      <c r="P27" s="2">
        <f t="shared" si="4"/>
        <v>399</v>
      </c>
      <c r="Q27" s="63">
        <f t="shared" si="5"/>
        <v>33.25</v>
      </c>
    </row>
    <row r="28" spans="1:17" ht="15.5" x14ac:dyDescent="0.3">
      <c r="A28" s="71"/>
      <c r="B28" s="91"/>
      <c r="C28" s="2" t="s">
        <v>21</v>
      </c>
      <c r="D28" s="6">
        <v>41</v>
      </c>
      <c r="E28" s="6">
        <v>37</v>
      </c>
      <c r="F28" s="6">
        <v>41</v>
      </c>
      <c r="G28" s="6">
        <v>49</v>
      </c>
      <c r="H28" s="6">
        <v>27</v>
      </c>
      <c r="I28" s="6">
        <v>31</v>
      </c>
      <c r="J28" s="6">
        <v>30</v>
      </c>
      <c r="K28" s="6">
        <v>39</v>
      </c>
      <c r="L28" s="6">
        <v>33</v>
      </c>
      <c r="M28" s="6">
        <v>41</v>
      </c>
      <c r="N28" s="6">
        <v>33</v>
      </c>
      <c r="O28" s="6">
        <v>35</v>
      </c>
      <c r="P28" s="2">
        <f t="shared" si="4"/>
        <v>437</v>
      </c>
      <c r="Q28" s="63">
        <f t="shared" si="5"/>
        <v>36.416666666666664</v>
      </c>
    </row>
    <row r="29" spans="1:17" x14ac:dyDescent="0.3">
      <c r="A29" s="71"/>
      <c r="B29" s="91"/>
      <c r="C29" s="2" t="s">
        <v>48</v>
      </c>
      <c r="D29" s="2">
        <f>SUM(D20:D28)</f>
        <v>274</v>
      </c>
      <c r="E29" s="2">
        <f t="shared" ref="E29:O29" si="6">SUM(E20:E28)</f>
        <v>243</v>
      </c>
      <c r="F29" s="2">
        <f t="shared" si="6"/>
        <v>297</v>
      </c>
      <c r="G29" s="2">
        <f t="shared" si="6"/>
        <v>337</v>
      </c>
      <c r="H29" s="2">
        <f t="shared" si="6"/>
        <v>268</v>
      </c>
      <c r="I29" s="2">
        <f t="shared" si="6"/>
        <v>316</v>
      </c>
      <c r="J29" s="2">
        <f t="shared" si="6"/>
        <v>281</v>
      </c>
      <c r="K29" s="2">
        <f t="shared" si="6"/>
        <v>325</v>
      </c>
      <c r="L29" s="2">
        <f t="shared" si="6"/>
        <v>291</v>
      </c>
      <c r="M29" s="2">
        <f t="shared" si="6"/>
        <v>301</v>
      </c>
      <c r="N29" s="2">
        <f t="shared" si="6"/>
        <v>274</v>
      </c>
      <c r="O29" s="2">
        <f t="shared" si="6"/>
        <v>284</v>
      </c>
      <c r="P29" s="2">
        <f t="shared" si="4"/>
        <v>3491</v>
      </c>
      <c r="Q29" s="63"/>
    </row>
    <row r="30" spans="1:17" x14ac:dyDescent="0.3">
      <c r="A30" s="72"/>
      <c r="B30" s="92"/>
      <c r="C30" s="2" t="s">
        <v>47</v>
      </c>
      <c r="D30" s="63">
        <f>AVERAGE(D20:D28)</f>
        <v>30.444444444444443</v>
      </c>
      <c r="E30" s="63">
        <f t="shared" ref="E30:O30" si="7">AVERAGE(E20:E28)</f>
        <v>27</v>
      </c>
      <c r="F30" s="63">
        <f t="shared" si="7"/>
        <v>33</v>
      </c>
      <c r="G30" s="63">
        <f t="shared" si="7"/>
        <v>37.444444444444443</v>
      </c>
      <c r="H30" s="63">
        <f t="shared" si="7"/>
        <v>29.777777777777779</v>
      </c>
      <c r="I30" s="63">
        <f t="shared" si="7"/>
        <v>35.111111111111114</v>
      </c>
      <c r="J30" s="63">
        <f t="shared" si="7"/>
        <v>31.222222222222221</v>
      </c>
      <c r="K30" s="63">
        <f t="shared" si="7"/>
        <v>36.111111111111114</v>
      </c>
      <c r="L30" s="63">
        <f t="shared" si="7"/>
        <v>32.333333333333336</v>
      </c>
      <c r="M30" s="63">
        <f t="shared" si="7"/>
        <v>33.444444444444443</v>
      </c>
      <c r="N30" s="63">
        <f t="shared" si="7"/>
        <v>30.444444444444443</v>
      </c>
      <c r="O30" s="63">
        <f t="shared" si="7"/>
        <v>31.555555555555557</v>
      </c>
      <c r="P30" s="2"/>
      <c r="Q30" s="63"/>
    </row>
    <row r="31" spans="1:17" x14ac:dyDescent="0.3">
      <c r="Q31" s="55"/>
    </row>
    <row r="32" spans="1:17" x14ac:dyDescent="0.3">
      <c r="A32" s="3" t="s">
        <v>29</v>
      </c>
      <c r="B32" s="3" t="s">
        <v>35</v>
      </c>
      <c r="C32" s="70" t="s">
        <v>2</v>
      </c>
      <c r="D32" s="84" t="s">
        <v>3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6"/>
      <c r="P32" s="70" t="s">
        <v>48</v>
      </c>
      <c r="Q32" s="87" t="s">
        <v>47</v>
      </c>
    </row>
    <row r="33" spans="1:17" x14ac:dyDescent="0.3">
      <c r="A33" s="70">
        <v>3</v>
      </c>
      <c r="B33" s="90" t="s">
        <v>51</v>
      </c>
      <c r="C33" s="71"/>
      <c r="D33" s="84" t="s">
        <v>4</v>
      </c>
      <c r="E33" s="85"/>
      <c r="F33" s="85"/>
      <c r="G33" s="86"/>
      <c r="H33" s="84" t="s">
        <v>11</v>
      </c>
      <c r="I33" s="85"/>
      <c r="J33" s="85"/>
      <c r="K33" s="86"/>
      <c r="L33" s="84" t="s">
        <v>12</v>
      </c>
      <c r="M33" s="85"/>
      <c r="N33" s="85"/>
      <c r="O33" s="86"/>
      <c r="P33" s="71"/>
      <c r="Q33" s="88"/>
    </row>
    <row r="34" spans="1:17" x14ac:dyDescent="0.3">
      <c r="A34" s="71"/>
      <c r="B34" s="91"/>
      <c r="C34" s="72"/>
      <c r="D34" s="3" t="s">
        <v>5</v>
      </c>
      <c r="E34" s="3" t="s">
        <v>7</v>
      </c>
      <c r="F34" s="3" t="s">
        <v>8</v>
      </c>
      <c r="G34" s="3" t="s">
        <v>10</v>
      </c>
      <c r="H34" s="3" t="s">
        <v>5</v>
      </c>
      <c r="I34" s="3" t="s">
        <v>7</v>
      </c>
      <c r="J34" s="3" t="s">
        <v>8</v>
      </c>
      <c r="K34" s="3" t="s">
        <v>10</v>
      </c>
      <c r="L34" s="3" t="s">
        <v>5</v>
      </c>
      <c r="M34" s="3" t="s">
        <v>7</v>
      </c>
      <c r="N34" s="3" t="s">
        <v>8</v>
      </c>
      <c r="O34" s="3" t="s">
        <v>10</v>
      </c>
      <c r="P34" s="72"/>
      <c r="Q34" s="89"/>
    </row>
    <row r="35" spans="1:17" ht="15.5" x14ac:dyDescent="0.3">
      <c r="A35" s="71"/>
      <c r="B35" s="91"/>
      <c r="C35" s="2" t="s">
        <v>13</v>
      </c>
      <c r="D35" s="6">
        <v>53</v>
      </c>
      <c r="E35" s="6">
        <v>51</v>
      </c>
      <c r="F35" s="6">
        <v>60</v>
      </c>
      <c r="G35" s="6">
        <v>60</v>
      </c>
      <c r="H35" s="6">
        <v>17</v>
      </c>
      <c r="I35" s="6">
        <v>62</v>
      </c>
      <c r="J35" s="6">
        <v>48</v>
      </c>
      <c r="K35" s="6">
        <v>58</v>
      </c>
      <c r="L35" s="6">
        <v>45</v>
      </c>
      <c r="M35" s="6">
        <v>74</v>
      </c>
      <c r="N35" s="6">
        <v>45</v>
      </c>
      <c r="O35" s="6">
        <v>54</v>
      </c>
      <c r="P35" s="2">
        <f>SUM(D35:O35)</f>
        <v>627</v>
      </c>
      <c r="Q35" s="63">
        <f>AVERAGE(D35:P35)</f>
        <v>96.461538461538467</v>
      </c>
    </row>
    <row r="36" spans="1:17" x14ac:dyDescent="0.3">
      <c r="A36" s="71"/>
      <c r="B36" s="91"/>
      <c r="C36" s="2" t="s">
        <v>14</v>
      </c>
      <c r="D36" s="54">
        <v>32</v>
      </c>
      <c r="E36" s="54">
        <v>38</v>
      </c>
      <c r="F36" s="54">
        <v>35</v>
      </c>
      <c r="G36" s="54">
        <v>40</v>
      </c>
      <c r="H36" s="54">
        <v>32</v>
      </c>
      <c r="I36" s="54">
        <v>35</v>
      </c>
      <c r="J36" s="54">
        <v>54</v>
      </c>
      <c r="K36" s="54">
        <v>32</v>
      </c>
      <c r="L36" s="54">
        <v>36</v>
      </c>
      <c r="M36" s="54">
        <v>34</v>
      </c>
      <c r="N36" s="54">
        <v>36</v>
      </c>
      <c r="O36" s="54">
        <v>36</v>
      </c>
      <c r="P36" s="2">
        <f t="shared" ref="P36:P44" si="8">SUM(D36:O36)</f>
        <v>440</v>
      </c>
      <c r="Q36" s="63">
        <f t="shared" ref="Q36:Q43" si="9">AVERAGE(D36:P36)</f>
        <v>67.692307692307693</v>
      </c>
    </row>
    <row r="37" spans="1:17" x14ac:dyDescent="0.3">
      <c r="A37" s="71"/>
      <c r="B37" s="91"/>
      <c r="C37" s="2" t="s">
        <v>15</v>
      </c>
      <c r="D37" s="54">
        <v>31</v>
      </c>
      <c r="E37" s="54">
        <v>34</v>
      </c>
      <c r="F37" s="54">
        <v>36</v>
      </c>
      <c r="G37" s="54">
        <v>34</v>
      </c>
      <c r="H37" s="54">
        <v>37</v>
      </c>
      <c r="I37" s="54">
        <v>32</v>
      </c>
      <c r="J37" s="54">
        <v>35</v>
      </c>
      <c r="K37" s="54">
        <v>35</v>
      </c>
      <c r="L37" s="54">
        <v>38</v>
      </c>
      <c r="M37" s="54">
        <v>32</v>
      </c>
      <c r="N37" s="54">
        <v>33</v>
      </c>
      <c r="O37" s="54">
        <v>35</v>
      </c>
      <c r="P37" s="2">
        <f t="shared" si="8"/>
        <v>412</v>
      </c>
      <c r="Q37" s="63">
        <f t="shared" si="9"/>
        <v>63.384615384615387</v>
      </c>
    </row>
    <row r="38" spans="1:17" ht="15.5" x14ac:dyDescent="0.3">
      <c r="A38" s="71"/>
      <c r="B38" s="91"/>
      <c r="C38" s="2" t="s">
        <v>16</v>
      </c>
      <c r="D38" s="6">
        <v>41</v>
      </c>
      <c r="E38" s="6">
        <v>30</v>
      </c>
      <c r="F38" s="6">
        <v>34</v>
      </c>
      <c r="G38" s="6">
        <v>30</v>
      </c>
      <c r="H38" s="6">
        <v>51</v>
      </c>
      <c r="I38" s="6">
        <v>41</v>
      </c>
      <c r="J38" s="6">
        <v>63</v>
      </c>
      <c r="K38" s="6">
        <v>64</v>
      </c>
      <c r="L38" s="6">
        <v>36</v>
      </c>
      <c r="M38" s="6">
        <v>20</v>
      </c>
      <c r="N38" s="6">
        <v>61</v>
      </c>
      <c r="O38" s="6">
        <v>34</v>
      </c>
      <c r="P38" s="2">
        <f t="shared" si="8"/>
        <v>505</v>
      </c>
      <c r="Q38" s="63">
        <f t="shared" si="9"/>
        <v>77.692307692307693</v>
      </c>
    </row>
    <row r="39" spans="1:17" ht="15.5" x14ac:dyDescent="0.3">
      <c r="A39" s="71"/>
      <c r="B39" s="91"/>
      <c r="C39" s="2" t="s">
        <v>17</v>
      </c>
      <c r="D39" s="6">
        <v>37</v>
      </c>
      <c r="E39" s="6">
        <v>34</v>
      </c>
      <c r="F39" s="6">
        <v>38</v>
      </c>
      <c r="G39" s="6">
        <v>26</v>
      </c>
      <c r="H39" s="6">
        <v>39</v>
      </c>
      <c r="I39" s="6">
        <v>52</v>
      </c>
      <c r="J39" s="6">
        <v>44</v>
      </c>
      <c r="K39" s="6">
        <v>34</v>
      </c>
      <c r="L39" s="6">
        <v>34</v>
      </c>
      <c r="M39" s="6">
        <v>39</v>
      </c>
      <c r="N39" s="6">
        <v>42</v>
      </c>
      <c r="O39" s="6">
        <v>37</v>
      </c>
      <c r="P39" s="2">
        <f t="shared" si="8"/>
        <v>456</v>
      </c>
      <c r="Q39" s="63">
        <f t="shared" si="9"/>
        <v>70.15384615384616</v>
      </c>
    </row>
    <row r="40" spans="1:17" ht="15.5" x14ac:dyDescent="0.3">
      <c r="A40" s="71"/>
      <c r="B40" s="91"/>
      <c r="C40" s="2" t="s">
        <v>18</v>
      </c>
      <c r="D40" s="6">
        <v>34</v>
      </c>
      <c r="E40" s="6">
        <v>20</v>
      </c>
      <c r="F40" s="6">
        <v>52</v>
      </c>
      <c r="G40" s="6">
        <v>31</v>
      </c>
      <c r="H40" s="6">
        <v>34</v>
      </c>
      <c r="I40" s="6">
        <v>47</v>
      </c>
      <c r="J40" s="6">
        <v>84</v>
      </c>
      <c r="K40" s="6">
        <v>43</v>
      </c>
      <c r="L40" s="6">
        <v>78</v>
      </c>
      <c r="M40" s="6">
        <v>66</v>
      </c>
      <c r="N40" s="6">
        <v>79</v>
      </c>
      <c r="O40" s="6">
        <v>69</v>
      </c>
      <c r="P40" s="2">
        <f t="shared" si="8"/>
        <v>637</v>
      </c>
      <c r="Q40" s="63">
        <f t="shared" si="9"/>
        <v>98</v>
      </c>
    </row>
    <row r="41" spans="1:17" ht="15.5" x14ac:dyDescent="0.3">
      <c r="A41" s="71"/>
      <c r="B41" s="91"/>
      <c r="C41" s="2" t="s">
        <v>19</v>
      </c>
      <c r="D41" s="6">
        <v>36</v>
      </c>
      <c r="E41" s="6">
        <v>78</v>
      </c>
      <c r="F41" s="6">
        <v>66</v>
      </c>
      <c r="G41" s="6">
        <v>69</v>
      </c>
      <c r="H41" s="6">
        <v>56</v>
      </c>
      <c r="I41" s="6">
        <v>78</v>
      </c>
      <c r="J41" s="6">
        <v>40</v>
      </c>
      <c r="K41" s="6">
        <v>30</v>
      </c>
      <c r="L41" s="6">
        <v>48</v>
      </c>
      <c r="M41" s="6">
        <v>55</v>
      </c>
      <c r="N41" s="6">
        <v>68</v>
      </c>
      <c r="O41" s="6">
        <v>67</v>
      </c>
      <c r="P41" s="2">
        <f t="shared" si="8"/>
        <v>691</v>
      </c>
      <c r="Q41" s="63">
        <f t="shared" si="9"/>
        <v>106.30769230769231</v>
      </c>
    </row>
    <row r="42" spans="1:17" ht="15.5" x14ac:dyDescent="0.3">
      <c r="A42" s="71"/>
      <c r="B42" s="91"/>
      <c r="C42" s="2" t="s">
        <v>20</v>
      </c>
      <c r="D42" s="6">
        <v>44</v>
      </c>
      <c r="E42" s="6">
        <v>54</v>
      </c>
      <c r="F42" s="6">
        <v>56</v>
      </c>
      <c r="G42" s="6">
        <v>52</v>
      </c>
      <c r="H42" s="6">
        <v>63</v>
      </c>
      <c r="I42" s="6">
        <v>58</v>
      </c>
      <c r="J42" s="6">
        <v>68</v>
      </c>
      <c r="K42" s="6">
        <v>53</v>
      </c>
      <c r="L42" s="6">
        <v>77</v>
      </c>
      <c r="M42" s="6">
        <v>60</v>
      </c>
      <c r="N42" s="6">
        <v>58</v>
      </c>
      <c r="O42" s="6">
        <v>69</v>
      </c>
      <c r="P42" s="2">
        <f t="shared" si="8"/>
        <v>712</v>
      </c>
      <c r="Q42" s="63">
        <f t="shared" si="9"/>
        <v>109.53846153846153</v>
      </c>
    </row>
    <row r="43" spans="1:17" ht="15.5" x14ac:dyDescent="0.3">
      <c r="A43" s="71"/>
      <c r="B43" s="91"/>
      <c r="C43" s="2" t="s">
        <v>21</v>
      </c>
      <c r="D43" s="6">
        <v>44</v>
      </c>
      <c r="E43" s="6">
        <v>58</v>
      </c>
      <c r="F43" s="6">
        <v>68</v>
      </c>
      <c r="G43" s="6">
        <v>54</v>
      </c>
      <c r="H43" s="6">
        <v>77</v>
      </c>
      <c r="I43" s="6">
        <v>66</v>
      </c>
      <c r="J43" s="6">
        <v>54</v>
      </c>
      <c r="K43" s="6">
        <v>49</v>
      </c>
      <c r="L43" s="6">
        <v>67</v>
      </c>
      <c r="M43" s="6">
        <v>66</v>
      </c>
      <c r="N43" s="6">
        <v>64</v>
      </c>
      <c r="O43" s="6">
        <v>45</v>
      </c>
      <c r="P43" s="2">
        <f t="shared" si="8"/>
        <v>712</v>
      </c>
      <c r="Q43" s="63">
        <f t="shared" si="9"/>
        <v>109.53846153846153</v>
      </c>
    </row>
    <row r="44" spans="1:17" x14ac:dyDescent="0.3">
      <c r="A44" s="71"/>
      <c r="B44" s="91"/>
      <c r="C44" s="2" t="s">
        <v>48</v>
      </c>
      <c r="D44" s="2">
        <f>SUM(D35:D43)</f>
        <v>352</v>
      </c>
      <c r="E44" s="2">
        <f t="shared" ref="E44:O44" si="10">SUM(E35:E43)</f>
        <v>397</v>
      </c>
      <c r="F44" s="2">
        <f t="shared" si="10"/>
        <v>445</v>
      </c>
      <c r="G44" s="2">
        <f t="shared" si="10"/>
        <v>396</v>
      </c>
      <c r="H44" s="2">
        <f t="shared" si="10"/>
        <v>406</v>
      </c>
      <c r="I44" s="2">
        <f t="shared" si="10"/>
        <v>471</v>
      </c>
      <c r="J44" s="2">
        <f t="shared" si="10"/>
        <v>490</v>
      </c>
      <c r="K44" s="2">
        <f t="shared" si="10"/>
        <v>398</v>
      </c>
      <c r="L44" s="2">
        <f t="shared" si="10"/>
        <v>459</v>
      </c>
      <c r="M44" s="2">
        <f t="shared" si="10"/>
        <v>446</v>
      </c>
      <c r="N44" s="2">
        <f t="shared" si="10"/>
        <v>486</v>
      </c>
      <c r="O44" s="2">
        <f t="shared" si="10"/>
        <v>446</v>
      </c>
      <c r="P44" s="2">
        <f t="shared" si="8"/>
        <v>5192</v>
      </c>
      <c r="Q44" s="63"/>
    </row>
    <row r="45" spans="1:17" x14ac:dyDescent="0.3">
      <c r="A45" s="72"/>
      <c r="B45" s="92"/>
      <c r="C45" s="2" t="s">
        <v>47</v>
      </c>
      <c r="D45" s="63">
        <f>AVERAGE(D35:D43)</f>
        <v>39.111111111111114</v>
      </c>
      <c r="E45" s="63">
        <f t="shared" ref="E45:O45" si="11">AVERAGE(E35:E43)</f>
        <v>44.111111111111114</v>
      </c>
      <c r="F45" s="63">
        <f t="shared" si="11"/>
        <v>49.444444444444443</v>
      </c>
      <c r="G45" s="63">
        <f t="shared" si="11"/>
        <v>44</v>
      </c>
      <c r="H45" s="63">
        <f t="shared" si="11"/>
        <v>45.111111111111114</v>
      </c>
      <c r="I45" s="63">
        <f t="shared" si="11"/>
        <v>52.333333333333336</v>
      </c>
      <c r="J45" s="63">
        <f t="shared" si="11"/>
        <v>54.444444444444443</v>
      </c>
      <c r="K45" s="63">
        <f t="shared" si="11"/>
        <v>44.222222222222221</v>
      </c>
      <c r="L45" s="63">
        <f t="shared" si="11"/>
        <v>51</v>
      </c>
      <c r="M45" s="63">
        <f t="shared" si="11"/>
        <v>49.555555555555557</v>
      </c>
      <c r="N45" s="63">
        <f t="shared" si="11"/>
        <v>54</v>
      </c>
      <c r="O45" s="63">
        <f t="shared" si="11"/>
        <v>49.555555555555557</v>
      </c>
      <c r="P45" s="2"/>
      <c r="Q45" s="63"/>
    </row>
    <row r="46" spans="1:17" x14ac:dyDescent="0.3">
      <c r="Q46" s="55"/>
    </row>
    <row r="47" spans="1:17" x14ac:dyDescent="0.3">
      <c r="A47" s="3" t="s">
        <v>29</v>
      </c>
      <c r="B47" s="3" t="s">
        <v>35</v>
      </c>
      <c r="C47" s="70" t="s">
        <v>2</v>
      </c>
      <c r="D47" s="84" t="s">
        <v>3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6"/>
      <c r="P47" s="70" t="s">
        <v>48</v>
      </c>
      <c r="Q47" s="87" t="s">
        <v>47</v>
      </c>
    </row>
    <row r="48" spans="1:17" x14ac:dyDescent="0.3">
      <c r="A48" s="70">
        <v>4</v>
      </c>
      <c r="B48" s="90" t="s">
        <v>52</v>
      </c>
      <c r="C48" s="71"/>
      <c r="D48" s="84" t="s">
        <v>4</v>
      </c>
      <c r="E48" s="85"/>
      <c r="F48" s="85"/>
      <c r="G48" s="86"/>
      <c r="H48" s="84" t="s">
        <v>11</v>
      </c>
      <c r="I48" s="85"/>
      <c r="J48" s="85"/>
      <c r="K48" s="86"/>
      <c r="L48" s="84" t="s">
        <v>12</v>
      </c>
      <c r="M48" s="85"/>
      <c r="N48" s="85"/>
      <c r="O48" s="86"/>
      <c r="P48" s="71"/>
      <c r="Q48" s="88"/>
    </row>
    <row r="49" spans="1:17" x14ac:dyDescent="0.3">
      <c r="A49" s="71"/>
      <c r="B49" s="91"/>
      <c r="C49" s="72"/>
      <c r="D49" s="3" t="s">
        <v>5</v>
      </c>
      <c r="E49" s="3" t="s">
        <v>7</v>
      </c>
      <c r="F49" s="3" t="s">
        <v>8</v>
      </c>
      <c r="G49" s="3" t="s">
        <v>10</v>
      </c>
      <c r="H49" s="3" t="s">
        <v>5</v>
      </c>
      <c r="I49" s="3" t="s">
        <v>7</v>
      </c>
      <c r="J49" s="3" t="s">
        <v>8</v>
      </c>
      <c r="K49" s="3" t="s">
        <v>10</v>
      </c>
      <c r="L49" s="3" t="s">
        <v>5</v>
      </c>
      <c r="M49" s="3" t="s">
        <v>7</v>
      </c>
      <c r="N49" s="3" t="s">
        <v>8</v>
      </c>
      <c r="O49" s="3" t="s">
        <v>10</v>
      </c>
      <c r="P49" s="72"/>
      <c r="Q49" s="89"/>
    </row>
    <row r="50" spans="1:17" ht="15.5" x14ac:dyDescent="0.3">
      <c r="A50" s="71"/>
      <c r="B50" s="91"/>
      <c r="C50" s="2" t="s">
        <v>13</v>
      </c>
      <c r="D50" s="6">
        <v>60</v>
      </c>
      <c r="E50" s="6">
        <v>32</v>
      </c>
      <c r="F50" s="6">
        <v>67</v>
      </c>
      <c r="G50" s="6">
        <v>63</v>
      </c>
      <c r="H50" s="6">
        <v>30</v>
      </c>
      <c r="I50" s="6">
        <v>73</v>
      </c>
      <c r="J50" s="6">
        <v>62</v>
      </c>
      <c r="K50" s="6">
        <v>43</v>
      </c>
      <c r="L50" s="6">
        <v>54</v>
      </c>
      <c r="M50" s="6">
        <v>75</v>
      </c>
      <c r="N50" s="6">
        <v>45</v>
      </c>
      <c r="O50" s="6">
        <v>79</v>
      </c>
      <c r="P50" s="2">
        <f>SUM(D50:O50)</f>
        <v>683</v>
      </c>
      <c r="Q50" s="63">
        <f>AVERAGE(D50:O50)</f>
        <v>56.916666666666664</v>
      </c>
    </row>
    <row r="51" spans="1:17" x14ac:dyDescent="0.3">
      <c r="A51" s="71"/>
      <c r="B51" s="91"/>
      <c r="C51" s="2" t="s">
        <v>14</v>
      </c>
      <c r="D51" s="54">
        <v>40</v>
      </c>
      <c r="E51" s="54">
        <v>42</v>
      </c>
      <c r="F51" s="54">
        <v>40</v>
      </c>
      <c r="G51" s="54">
        <v>38</v>
      </c>
      <c r="H51" s="54">
        <v>41</v>
      </c>
      <c r="I51" s="54">
        <v>42</v>
      </c>
      <c r="J51" s="54">
        <v>40</v>
      </c>
      <c r="K51" s="54">
        <v>44</v>
      </c>
      <c r="L51" s="54">
        <v>42</v>
      </c>
      <c r="M51" s="54">
        <v>41</v>
      </c>
      <c r="N51" s="54">
        <v>39</v>
      </c>
      <c r="O51" s="54">
        <v>41</v>
      </c>
      <c r="P51" s="2">
        <f t="shared" ref="P51:P59" si="12">SUM(D51:O51)</f>
        <v>490</v>
      </c>
      <c r="Q51" s="63">
        <f t="shared" ref="Q51:Q58" si="13">AVERAGE(D51:O51)</f>
        <v>40.833333333333336</v>
      </c>
    </row>
    <row r="52" spans="1:17" x14ac:dyDescent="0.3">
      <c r="A52" s="71"/>
      <c r="B52" s="91"/>
      <c r="C52" s="2" t="s">
        <v>15</v>
      </c>
      <c r="D52" s="54">
        <v>43</v>
      </c>
      <c r="E52" s="54">
        <v>45</v>
      </c>
      <c r="F52" s="54">
        <v>45</v>
      </c>
      <c r="G52" s="54">
        <v>46</v>
      </c>
      <c r="H52" s="54">
        <v>42</v>
      </c>
      <c r="I52" s="54">
        <v>47</v>
      </c>
      <c r="J52" s="54">
        <v>41</v>
      </c>
      <c r="K52" s="54">
        <v>40</v>
      </c>
      <c r="L52" s="54">
        <v>45</v>
      </c>
      <c r="M52" s="54">
        <v>43</v>
      </c>
      <c r="N52" s="54">
        <v>46</v>
      </c>
      <c r="O52" s="54">
        <v>40</v>
      </c>
      <c r="P52" s="2">
        <f t="shared" si="12"/>
        <v>523</v>
      </c>
      <c r="Q52" s="63">
        <f t="shared" si="13"/>
        <v>43.583333333333336</v>
      </c>
    </row>
    <row r="53" spans="1:17" ht="15.5" x14ac:dyDescent="0.3">
      <c r="A53" s="71"/>
      <c r="B53" s="91"/>
      <c r="C53" s="2" t="s">
        <v>16</v>
      </c>
      <c r="D53" s="6">
        <v>49</v>
      </c>
      <c r="E53" s="6">
        <v>27</v>
      </c>
      <c r="F53" s="6">
        <v>51</v>
      </c>
      <c r="G53" s="6">
        <v>63</v>
      </c>
      <c r="H53" s="6">
        <v>72</v>
      </c>
      <c r="I53" s="6">
        <v>56</v>
      </c>
      <c r="J53" s="6">
        <v>42</v>
      </c>
      <c r="K53" s="6">
        <v>43</v>
      </c>
      <c r="L53" s="6">
        <v>60</v>
      </c>
      <c r="M53" s="6">
        <v>48</v>
      </c>
      <c r="N53" s="6">
        <v>29</v>
      </c>
      <c r="O53" s="6">
        <v>34</v>
      </c>
      <c r="P53" s="2">
        <f t="shared" si="12"/>
        <v>574</v>
      </c>
      <c r="Q53" s="63">
        <f t="shared" si="13"/>
        <v>47.833333333333336</v>
      </c>
    </row>
    <row r="54" spans="1:17" ht="15.5" x14ac:dyDescent="0.3">
      <c r="A54" s="71"/>
      <c r="B54" s="91"/>
      <c r="C54" s="2" t="s">
        <v>17</v>
      </c>
      <c r="D54" s="6">
        <v>45</v>
      </c>
      <c r="E54" s="6">
        <v>48</v>
      </c>
      <c r="F54" s="6">
        <v>40</v>
      </c>
      <c r="G54" s="6">
        <v>23</v>
      </c>
      <c r="H54" s="6">
        <v>44</v>
      </c>
      <c r="I54" s="6">
        <v>43</v>
      </c>
      <c r="J54" s="6">
        <v>44</v>
      </c>
      <c r="K54" s="6">
        <v>49</v>
      </c>
      <c r="L54" s="6">
        <v>44</v>
      </c>
      <c r="M54" s="6">
        <v>48</v>
      </c>
      <c r="N54" s="6">
        <v>46</v>
      </c>
      <c r="O54" s="6">
        <v>39</v>
      </c>
      <c r="P54" s="2">
        <f t="shared" si="12"/>
        <v>513</v>
      </c>
      <c r="Q54" s="63">
        <f t="shared" si="13"/>
        <v>42.75</v>
      </c>
    </row>
    <row r="55" spans="1:17" ht="15.5" x14ac:dyDescent="0.3">
      <c r="A55" s="71"/>
      <c r="B55" s="91"/>
      <c r="C55" s="2" t="s">
        <v>18</v>
      </c>
      <c r="D55" s="6">
        <v>41</v>
      </c>
      <c r="E55" s="6">
        <v>80</v>
      </c>
      <c r="F55" s="6">
        <v>42</v>
      </c>
      <c r="G55" s="6">
        <v>37</v>
      </c>
      <c r="H55" s="6">
        <v>44</v>
      </c>
      <c r="I55" s="6">
        <v>61</v>
      </c>
      <c r="J55" s="6">
        <v>46</v>
      </c>
      <c r="K55" s="6">
        <v>42</v>
      </c>
      <c r="L55" s="6">
        <v>81</v>
      </c>
      <c r="M55" s="6">
        <v>51</v>
      </c>
      <c r="N55" s="6">
        <v>73</v>
      </c>
      <c r="O55" s="6">
        <v>56</v>
      </c>
      <c r="P55" s="2">
        <f t="shared" si="12"/>
        <v>654</v>
      </c>
      <c r="Q55" s="63">
        <f t="shared" si="13"/>
        <v>54.5</v>
      </c>
    </row>
    <row r="56" spans="1:17" ht="15.5" x14ac:dyDescent="0.3">
      <c r="A56" s="71"/>
      <c r="B56" s="91"/>
      <c r="C56" s="2" t="s">
        <v>19</v>
      </c>
      <c r="D56" s="6">
        <v>54</v>
      </c>
      <c r="E56" s="6">
        <v>89</v>
      </c>
      <c r="F56" s="6">
        <v>75</v>
      </c>
      <c r="G56" s="6">
        <v>63</v>
      </c>
      <c r="H56" s="6">
        <v>42</v>
      </c>
      <c r="I56" s="6">
        <v>79</v>
      </c>
      <c r="J56" s="6">
        <v>73</v>
      </c>
      <c r="K56" s="6">
        <v>86</v>
      </c>
      <c r="L56" s="6">
        <v>75</v>
      </c>
      <c r="M56" s="6">
        <v>70</v>
      </c>
      <c r="N56" s="6">
        <v>94</v>
      </c>
      <c r="O56" s="6">
        <v>74</v>
      </c>
      <c r="P56" s="2">
        <f t="shared" si="12"/>
        <v>874</v>
      </c>
      <c r="Q56" s="63">
        <f t="shared" si="13"/>
        <v>72.833333333333329</v>
      </c>
    </row>
    <row r="57" spans="1:17" ht="15.5" x14ac:dyDescent="0.3">
      <c r="A57" s="71"/>
      <c r="B57" s="91"/>
      <c r="C57" s="2" t="s">
        <v>20</v>
      </c>
      <c r="D57" s="6">
        <v>58</v>
      </c>
      <c r="E57" s="6">
        <v>78</v>
      </c>
      <c r="F57" s="6">
        <v>73</v>
      </c>
      <c r="G57" s="6">
        <v>65</v>
      </c>
      <c r="H57" s="6">
        <v>49</v>
      </c>
      <c r="I57" s="6">
        <v>53</v>
      </c>
      <c r="J57" s="6">
        <v>80</v>
      </c>
      <c r="K57" s="6">
        <v>75</v>
      </c>
      <c r="L57" s="6">
        <v>111</v>
      </c>
      <c r="M57" s="6">
        <v>53</v>
      </c>
      <c r="N57" s="6">
        <v>111</v>
      </c>
      <c r="O57" s="6">
        <v>73</v>
      </c>
      <c r="P57" s="2">
        <f t="shared" si="12"/>
        <v>879</v>
      </c>
      <c r="Q57" s="63">
        <f t="shared" si="13"/>
        <v>73.25</v>
      </c>
    </row>
    <row r="58" spans="1:17" ht="15.5" x14ac:dyDescent="0.3">
      <c r="A58" s="71"/>
      <c r="B58" s="91"/>
      <c r="C58" s="2" t="s">
        <v>21</v>
      </c>
      <c r="D58" s="6">
        <v>48</v>
      </c>
      <c r="E58" s="6">
        <v>63</v>
      </c>
      <c r="F58" s="6">
        <v>79</v>
      </c>
      <c r="G58" s="6">
        <v>75</v>
      </c>
      <c r="H58" s="6">
        <v>82</v>
      </c>
      <c r="I58" s="6">
        <v>74</v>
      </c>
      <c r="J58" s="6">
        <v>64</v>
      </c>
      <c r="K58" s="6">
        <v>74</v>
      </c>
      <c r="L58" s="6">
        <v>69</v>
      </c>
      <c r="M58" s="6">
        <v>49</v>
      </c>
      <c r="N58" s="6">
        <v>85</v>
      </c>
      <c r="O58" s="6">
        <v>87</v>
      </c>
      <c r="P58" s="2">
        <f t="shared" si="12"/>
        <v>849</v>
      </c>
      <c r="Q58" s="63">
        <f t="shared" si="13"/>
        <v>70.75</v>
      </c>
    </row>
    <row r="59" spans="1:17" x14ac:dyDescent="0.3">
      <c r="A59" s="71"/>
      <c r="B59" s="91"/>
      <c r="C59" s="2" t="s">
        <v>48</v>
      </c>
      <c r="D59" s="2">
        <f>SUM(D50:D58)</f>
        <v>438</v>
      </c>
      <c r="E59" s="2">
        <f t="shared" ref="E59:O59" si="14">SUM(E50:E58)</f>
        <v>504</v>
      </c>
      <c r="F59" s="2">
        <f t="shared" si="14"/>
        <v>512</v>
      </c>
      <c r="G59" s="2">
        <f t="shared" si="14"/>
        <v>473</v>
      </c>
      <c r="H59" s="2">
        <f t="shared" si="14"/>
        <v>446</v>
      </c>
      <c r="I59" s="2">
        <f t="shared" si="14"/>
        <v>528</v>
      </c>
      <c r="J59" s="2">
        <f t="shared" si="14"/>
        <v>492</v>
      </c>
      <c r="K59" s="2">
        <f t="shared" si="14"/>
        <v>496</v>
      </c>
      <c r="L59" s="2">
        <f t="shared" si="14"/>
        <v>581</v>
      </c>
      <c r="M59" s="2">
        <f t="shared" si="14"/>
        <v>478</v>
      </c>
      <c r="N59" s="2">
        <f t="shared" si="14"/>
        <v>568</v>
      </c>
      <c r="O59" s="2">
        <f t="shared" si="14"/>
        <v>523</v>
      </c>
      <c r="P59" s="2">
        <f t="shared" si="12"/>
        <v>6039</v>
      </c>
      <c r="Q59" s="63"/>
    </row>
    <row r="60" spans="1:17" x14ac:dyDescent="0.3">
      <c r="A60" s="72"/>
      <c r="B60" s="92"/>
      <c r="C60" s="2" t="s">
        <v>47</v>
      </c>
      <c r="D60" s="63">
        <f>AVERAGE(D50:D58)</f>
        <v>48.666666666666664</v>
      </c>
      <c r="E60" s="63">
        <f t="shared" ref="E60:O60" si="15">AVERAGE(E50:E58)</f>
        <v>56</v>
      </c>
      <c r="F60" s="63">
        <f t="shared" si="15"/>
        <v>56.888888888888886</v>
      </c>
      <c r="G60" s="63">
        <f t="shared" si="15"/>
        <v>52.555555555555557</v>
      </c>
      <c r="H60" s="63">
        <f t="shared" si="15"/>
        <v>49.555555555555557</v>
      </c>
      <c r="I60" s="63">
        <f t="shared" si="15"/>
        <v>58.666666666666664</v>
      </c>
      <c r="J60" s="63">
        <f t="shared" si="15"/>
        <v>54.666666666666664</v>
      </c>
      <c r="K60" s="63">
        <f t="shared" si="15"/>
        <v>55.111111111111114</v>
      </c>
      <c r="L60" s="63">
        <f t="shared" si="15"/>
        <v>64.555555555555557</v>
      </c>
      <c r="M60" s="63">
        <f t="shared" si="15"/>
        <v>53.111111111111114</v>
      </c>
      <c r="N60" s="63">
        <f t="shared" si="15"/>
        <v>63.111111111111114</v>
      </c>
      <c r="O60" s="63">
        <f t="shared" si="15"/>
        <v>58.111111111111114</v>
      </c>
      <c r="P60" s="2"/>
      <c r="Q60" s="63"/>
    </row>
    <row r="61" spans="1:17" x14ac:dyDescent="0.3">
      <c r="Q61" s="55"/>
    </row>
    <row r="62" spans="1:17" x14ac:dyDescent="0.3">
      <c r="A62" s="3" t="s">
        <v>29</v>
      </c>
      <c r="B62" s="3" t="s">
        <v>35</v>
      </c>
      <c r="C62" s="70" t="s">
        <v>2</v>
      </c>
      <c r="D62" s="84" t="s">
        <v>3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6"/>
      <c r="P62" s="70" t="s">
        <v>48</v>
      </c>
      <c r="Q62" s="87" t="s">
        <v>47</v>
      </c>
    </row>
    <row r="63" spans="1:17" x14ac:dyDescent="0.3">
      <c r="A63" s="70">
        <v>5</v>
      </c>
      <c r="B63" s="90" t="s">
        <v>53</v>
      </c>
      <c r="C63" s="71"/>
      <c r="D63" s="84" t="s">
        <v>4</v>
      </c>
      <c r="E63" s="85"/>
      <c r="F63" s="85"/>
      <c r="G63" s="86"/>
      <c r="H63" s="84" t="s">
        <v>11</v>
      </c>
      <c r="I63" s="85"/>
      <c r="J63" s="85"/>
      <c r="K63" s="86"/>
      <c r="L63" s="84" t="s">
        <v>12</v>
      </c>
      <c r="M63" s="85"/>
      <c r="N63" s="85"/>
      <c r="O63" s="86"/>
      <c r="P63" s="71"/>
      <c r="Q63" s="88"/>
    </row>
    <row r="64" spans="1:17" x14ac:dyDescent="0.3">
      <c r="A64" s="71"/>
      <c r="B64" s="91"/>
      <c r="C64" s="72"/>
      <c r="D64" s="3" t="s">
        <v>5</v>
      </c>
      <c r="E64" s="3" t="s">
        <v>7</v>
      </c>
      <c r="F64" s="3" t="s">
        <v>8</v>
      </c>
      <c r="G64" s="3" t="s">
        <v>10</v>
      </c>
      <c r="H64" s="3" t="s">
        <v>5</v>
      </c>
      <c r="I64" s="3" t="s">
        <v>7</v>
      </c>
      <c r="J64" s="3" t="s">
        <v>8</v>
      </c>
      <c r="K64" s="3" t="s">
        <v>10</v>
      </c>
      <c r="L64" s="3" t="s">
        <v>5</v>
      </c>
      <c r="M64" s="3" t="s">
        <v>7</v>
      </c>
      <c r="N64" s="3" t="s">
        <v>8</v>
      </c>
      <c r="O64" s="3" t="s">
        <v>10</v>
      </c>
      <c r="P64" s="72"/>
      <c r="Q64" s="89"/>
    </row>
    <row r="65" spans="1:17" ht="15.5" x14ac:dyDescent="0.3">
      <c r="A65" s="71"/>
      <c r="B65" s="91"/>
      <c r="C65" s="2" t="s">
        <v>13</v>
      </c>
      <c r="D65" s="6">
        <v>62</v>
      </c>
      <c r="E65" s="6">
        <v>46</v>
      </c>
      <c r="F65" s="6">
        <v>73</v>
      </c>
      <c r="G65" s="6">
        <v>62</v>
      </c>
      <c r="H65" s="6">
        <v>35</v>
      </c>
      <c r="I65" s="6">
        <v>77</v>
      </c>
      <c r="J65" s="6">
        <v>78</v>
      </c>
      <c r="K65" s="6">
        <v>67</v>
      </c>
      <c r="L65" s="6">
        <v>61</v>
      </c>
      <c r="M65" s="6">
        <v>73</v>
      </c>
      <c r="N65" s="6">
        <v>57</v>
      </c>
      <c r="O65" s="6">
        <v>74</v>
      </c>
      <c r="P65" s="2">
        <f>SUM(D65:O65)</f>
        <v>765</v>
      </c>
      <c r="Q65" s="63">
        <f>AVERAGE(D65:O65)</f>
        <v>63.75</v>
      </c>
    </row>
    <row r="66" spans="1:17" x14ac:dyDescent="0.3">
      <c r="A66" s="71"/>
      <c r="B66" s="91"/>
      <c r="C66" s="2" t="s">
        <v>14</v>
      </c>
      <c r="D66" s="54">
        <v>51</v>
      </c>
      <c r="E66" s="54">
        <v>50</v>
      </c>
      <c r="F66" s="54">
        <v>52</v>
      </c>
      <c r="G66" s="54">
        <v>55</v>
      </c>
      <c r="H66" s="54">
        <v>53</v>
      </c>
      <c r="I66" s="54">
        <v>56</v>
      </c>
      <c r="J66" s="54">
        <v>49</v>
      </c>
      <c r="K66" s="54">
        <v>50</v>
      </c>
      <c r="L66" s="54">
        <v>51</v>
      </c>
      <c r="M66" s="54">
        <v>52</v>
      </c>
      <c r="N66" s="54">
        <v>55</v>
      </c>
      <c r="O66" s="54">
        <v>53</v>
      </c>
      <c r="P66" s="2">
        <f t="shared" ref="P66:P74" si="16">SUM(D66:O66)</f>
        <v>627</v>
      </c>
      <c r="Q66" s="63">
        <f t="shared" ref="Q66:Q73" si="17">AVERAGE(D66:O66)</f>
        <v>52.25</v>
      </c>
    </row>
    <row r="67" spans="1:17" x14ac:dyDescent="0.3">
      <c r="A67" s="71"/>
      <c r="B67" s="91"/>
      <c r="C67" s="2" t="s">
        <v>15</v>
      </c>
      <c r="D67" s="54">
        <v>52</v>
      </c>
      <c r="E67" s="54">
        <v>50</v>
      </c>
      <c r="F67" s="54">
        <v>49</v>
      </c>
      <c r="G67" s="54">
        <v>48</v>
      </c>
      <c r="H67" s="54">
        <v>52</v>
      </c>
      <c r="I67" s="54">
        <v>51</v>
      </c>
      <c r="J67" s="54">
        <v>54</v>
      </c>
      <c r="K67" s="54">
        <v>56</v>
      </c>
      <c r="L67" s="54">
        <v>54</v>
      </c>
      <c r="M67" s="54">
        <v>50</v>
      </c>
      <c r="N67" s="54">
        <v>52</v>
      </c>
      <c r="O67" s="54">
        <v>53</v>
      </c>
      <c r="P67" s="2">
        <f t="shared" si="16"/>
        <v>621</v>
      </c>
      <c r="Q67" s="63">
        <f t="shared" si="17"/>
        <v>51.75</v>
      </c>
    </row>
    <row r="68" spans="1:17" ht="15.5" x14ac:dyDescent="0.3">
      <c r="A68" s="71"/>
      <c r="B68" s="91"/>
      <c r="C68" s="2" t="s">
        <v>16</v>
      </c>
      <c r="D68" s="6">
        <v>62</v>
      </c>
      <c r="E68" s="6">
        <v>34</v>
      </c>
      <c r="F68" s="6">
        <v>46</v>
      </c>
      <c r="G68" s="6">
        <v>50</v>
      </c>
      <c r="H68" s="6">
        <v>64</v>
      </c>
      <c r="I68" s="6">
        <v>62</v>
      </c>
      <c r="J68" s="6">
        <v>54</v>
      </c>
      <c r="K68" s="6">
        <v>47</v>
      </c>
      <c r="L68" s="6">
        <v>24</v>
      </c>
      <c r="M68" s="6">
        <v>32</v>
      </c>
      <c r="N68" s="6">
        <v>50</v>
      </c>
      <c r="O68" s="6">
        <v>48</v>
      </c>
      <c r="P68" s="2">
        <f t="shared" si="16"/>
        <v>573</v>
      </c>
      <c r="Q68" s="63">
        <f t="shared" si="17"/>
        <v>47.75</v>
      </c>
    </row>
    <row r="69" spans="1:17" ht="15.5" x14ac:dyDescent="0.3">
      <c r="A69" s="71"/>
      <c r="B69" s="91"/>
      <c r="C69" s="2" t="s">
        <v>17</v>
      </c>
      <c r="D69" s="6">
        <v>46</v>
      </c>
      <c r="E69" s="6">
        <v>44</v>
      </c>
      <c r="F69" s="6">
        <v>34</v>
      </c>
      <c r="G69" s="6">
        <v>24</v>
      </c>
      <c r="H69" s="6">
        <v>62</v>
      </c>
      <c r="I69" s="6">
        <v>45</v>
      </c>
      <c r="J69" s="6">
        <v>46</v>
      </c>
      <c r="K69" s="6">
        <v>36</v>
      </c>
      <c r="L69" s="6">
        <v>24</v>
      </c>
      <c r="M69" s="6">
        <v>32</v>
      </c>
      <c r="N69" s="6">
        <v>50</v>
      </c>
      <c r="O69" s="6">
        <v>48</v>
      </c>
      <c r="P69" s="2">
        <f t="shared" si="16"/>
        <v>491</v>
      </c>
      <c r="Q69" s="63">
        <f t="shared" si="17"/>
        <v>40.916666666666664</v>
      </c>
    </row>
    <row r="70" spans="1:17" ht="15.5" x14ac:dyDescent="0.3">
      <c r="A70" s="71"/>
      <c r="B70" s="91"/>
      <c r="C70" s="2" t="s">
        <v>18</v>
      </c>
      <c r="D70" s="6">
        <v>51</v>
      </c>
      <c r="E70" s="6">
        <v>48</v>
      </c>
      <c r="F70" s="6">
        <v>30</v>
      </c>
      <c r="G70" s="6">
        <v>44</v>
      </c>
      <c r="H70" s="6">
        <v>80</v>
      </c>
      <c r="I70" s="6">
        <v>43</v>
      </c>
      <c r="J70" s="6">
        <v>41</v>
      </c>
      <c r="K70" s="6">
        <v>41</v>
      </c>
      <c r="L70" s="6">
        <v>32</v>
      </c>
      <c r="M70" s="6">
        <v>40</v>
      </c>
      <c r="N70" s="6">
        <v>40</v>
      </c>
      <c r="O70" s="6">
        <v>38</v>
      </c>
      <c r="P70" s="2">
        <f t="shared" si="16"/>
        <v>528</v>
      </c>
      <c r="Q70" s="63">
        <f t="shared" si="17"/>
        <v>44</v>
      </c>
    </row>
    <row r="71" spans="1:17" ht="15.5" x14ac:dyDescent="0.3">
      <c r="A71" s="71"/>
      <c r="B71" s="91"/>
      <c r="C71" s="2" t="s">
        <v>19</v>
      </c>
      <c r="D71" s="6">
        <v>60</v>
      </c>
      <c r="E71" s="6">
        <v>70</v>
      </c>
      <c r="F71" s="6">
        <v>75</v>
      </c>
      <c r="G71" s="6">
        <v>65</v>
      </c>
      <c r="H71" s="6">
        <v>35</v>
      </c>
      <c r="I71" s="6">
        <v>74</v>
      </c>
      <c r="J71" s="6">
        <v>64</v>
      </c>
      <c r="K71" s="6">
        <v>74</v>
      </c>
      <c r="L71" s="6">
        <v>69</v>
      </c>
      <c r="M71" s="6">
        <v>68</v>
      </c>
      <c r="N71" s="6">
        <v>89</v>
      </c>
      <c r="O71" s="6">
        <v>86</v>
      </c>
      <c r="P71" s="2">
        <f t="shared" si="16"/>
        <v>829</v>
      </c>
      <c r="Q71" s="63">
        <f t="shared" si="17"/>
        <v>69.083333333333329</v>
      </c>
    </row>
    <row r="72" spans="1:17" ht="15.5" x14ac:dyDescent="0.3">
      <c r="A72" s="71"/>
      <c r="B72" s="91"/>
      <c r="C72" s="2" t="s">
        <v>20</v>
      </c>
      <c r="D72" s="6">
        <v>88</v>
      </c>
      <c r="E72" s="6">
        <v>88</v>
      </c>
      <c r="F72" s="6">
        <v>75</v>
      </c>
      <c r="G72" s="6">
        <v>40</v>
      </c>
      <c r="H72" s="6">
        <v>50</v>
      </c>
      <c r="I72" s="6">
        <v>40</v>
      </c>
      <c r="J72" s="6">
        <v>65</v>
      </c>
      <c r="K72" s="6">
        <v>85</v>
      </c>
      <c r="L72" s="6">
        <v>86</v>
      </c>
      <c r="M72" s="6">
        <v>50</v>
      </c>
      <c r="N72" s="6">
        <v>104</v>
      </c>
      <c r="O72" s="6">
        <v>68</v>
      </c>
      <c r="P72" s="2">
        <f t="shared" si="16"/>
        <v>839</v>
      </c>
      <c r="Q72" s="63">
        <f t="shared" si="17"/>
        <v>69.916666666666671</v>
      </c>
    </row>
    <row r="73" spans="1:17" ht="15.5" x14ac:dyDescent="0.3">
      <c r="A73" s="71"/>
      <c r="B73" s="91"/>
      <c r="C73" s="2" t="s">
        <v>21</v>
      </c>
      <c r="D73" s="6">
        <v>50</v>
      </c>
      <c r="E73" s="6">
        <v>72</v>
      </c>
      <c r="F73" s="6">
        <v>112</v>
      </c>
      <c r="G73" s="6">
        <v>94</v>
      </c>
      <c r="H73" s="6">
        <v>96</v>
      </c>
      <c r="I73" s="6">
        <v>50</v>
      </c>
      <c r="J73" s="6">
        <v>50</v>
      </c>
      <c r="K73" s="6">
        <v>52</v>
      </c>
      <c r="L73" s="6">
        <v>72</v>
      </c>
      <c r="M73" s="6">
        <v>55</v>
      </c>
      <c r="N73" s="6">
        <v>80</v>
      </c>
      <c r="O73" s="6">
        <v>90</v>
      </c>
      <c r="P73" s="2">
        <f t="shared" si="16"/>
        <v>873</v>
      </c>
      <c r="Q73" s="63">
        <f t="shared" si="17"/>
        <v>72.75</v>
      </c>
    </row>
    <row r="74" spans="1:17" x14ac:dyDescent="0.3">
      <c r="A74" s="71"/>
      <c r="B74" s="91"/>
      <c r="C74" s="2" t="s">
        <v>48</v>
      </c>
      <c r="D74" s="2">
        <f>SUM(D65:D73)</f>
        <v>522</v>
      </c>
      <c r="E74" s="2">
        <f t="shared" ref="E74:O74" si="18">SUM(E65:E73)</f>
        <v>502</v>
      </c>
      <c r="F74" s="2">
        <f t="shared" si="18"/>
        <v>546</v>
      </c>
      <c r="G74" s="2">
        <f t="shared" si="18"/>
        <v>482</v>
      </c>
      <c r="H74" s="2">
        <f t="shared" si="18"/>
        <v>527</v>
      </c>
      <c r="I74" s="2">
        <f t="shared" si="18"/>
        <v>498</v>
      </c>
      <c r="J74" s="2">
        <f t="shared" si="18"/>
        <v>501</v>
      </c>
      <c r="K74" s="2">
        <f t="shared" si="18"/>
        <v>508</v>
      </c>
      <c r="L74" s="2">
        <f t="shared" si="18"/>
        <v>473</v>
      </c>
      <c r="M74" s="2">
        <f t="shared" si="18"/>
        <v>452</v>
      </c>
      <c r="N74" s="2">
        <f t="shared" si="18"/>
        <v>577</v>
      </c>
      <c r="O74" s="2">
        <f t="shared" si="18"/>
        <v>558</v>
      </c>
      <c r="P74" s="2">
        <f t="shared" si="16"/>
        <v>6146</v>
      </c>
      <c r="Q74" s="63"/>
    </row>
    <row r="75" spans="1:17" x14ac:dyDescent="0.3">
      <c r="A75" s="72"/>
      <c r="B75" s="92"/>
      <c r="C75" s="2" t="s">
        <v>47</v>
      </c>
      <c r="D75" s="63">
        <f>AVERAGE(D65:D73)</f>
        <v>58</v>
      </c>
      <c r="E75" s="63">
        <f t="shared" ref="E75:O75" si="19">AVERAGE(E65:E73)</f>
        <v>55.777777777777779</v>
      </c>
      <c r="F75" s="63">
        <f t="shared" si="19"/>
        <v>60.666666666666664</v>
      </c>
      <c r="G75" s="63">
        <f t="shared" si="19"/>
        <v>53.555555555555557</v>
      </c>
      <c r="H75" s="63">
        <f t="shared" si="19"/>
        <v>58.555555555555557</v>
      </c>
      <c r="I75" s="63">
        <f t="shared" si="19"/>
        <v>55.333333333333336</v>
      </c>
      <c r="J75" s="63">
        <f t="shared" si="19"/>
        <v>55.666666666666664</v>
      </c>
      <c r="K75" s="63">
        <f t="shared" si="19"/>
        <v>56.444444444444443</v>
      </c>
      <c r="L75" s="63">
        <f t="shared" si="19"/>
        <v>52.555555555555557</v>
      </c>
      <c r="M75" s="63">
        <f t="shared" si="19"/>
        <v>50.222222222222221</v>
      </c>
      <c r="N75" s="63">
        <f t="shared" si="19"/>
        <v>64.111111111111114</v>
      </c>
      <c r="O75" s="63">
        <f t="shared" si="19"/>
        <v>62</v>
      </c>
      <c r="P75" s="2"/>
      <c r="Q75" s="63"/>
    </row>
    <row r="76" spans="1:17" x14ac:dyDescent="0.3">
      <c r="Q76" s="55"/>
    </row>
    <row r="77" spans="1:17" x14ac:dyDescent="0.3">
      <c r="A77" s="3" t="s">
        <v>29</v>
      </c>
      <c r="B77" s="3" t="s">
        <v>35</v>
      </c>
      <c r="C77" s="70" t="s">
        <v>2</v>
      </c>
      <c r="D77" s="84" t="s">
        <v>3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6"/>
      <c r="P77" s="70" t="s">
        <v>48</v>
      </c>
      <c r="Q77" s="87" t="s">
        <v>47</v>
      </c>
    </row>
    <row r="78" spans="1:17" x14ac:dyDescent="0.3">
      <c r="A78" s="70">
        <v>6</v>
      </c>
      <c r="B78" s="90" t="s">
        <v>54</v>
      </c>
      <c r="C78" s="71"/>
      <c r="D78" s="84" t="s">
        <v>4</v>
      </c>
      <c r="E78" s="85"/>
      <c r="F78" s="85"/>
      <c r="G78" s="86"/>
      <c r="H78" s="84" t="s">
        <v>11</v>
      </c>
      <c r="I78" s="85"/>
      <c r="J78" s="85"/>
      <c r="K78" s="86"/>
      <c r="L78" s="84" t="s">
        <v>12</v>
      </c>
      <c r="M78" s="85"/>
      <c r="N78" s="85"/>
      <c r="O78" s="86"/>
      <c r="P78" s="71"/>
      <c r="Q78" s="88"/>
    </row>
    <row r="79" spans="1:17" x14ac:dyDescent="0.3">
      <c r="A79" s="71"/>
      <c r="B79" s="91"/>
      <c r="C79" s="72"/>
      <c r="D79" s="3" t="s">
        <v>5</v>
      </c>
      <c r="E79" s="3" t="s">
        <v>7</v>
      </c>
      <c r="F79" s="3" t="s">
        <v>8</v>
      </c>
      <c r="G79" s="3" t="s">
        <v>10</v>
      </c>
      <c r="H79" s="3" t="s">
        <v>5</v>
      </c>
      <c r="I79" s="3" t="s">
        <v>7</v>
      </c>
      <c r="J79" s="3" t="s">
        <v>8</v>
      </c>
      <c r="K79" s="3" t="s">
        <v>10</v>
      </c>
      <c r="L79" s="3" t="s">
        <v>5</v>
      </c>
      <c r="M79" s="3" t="s">
        <v>7</v>
      </c>
      <c r="N79" s="3" t="s">
        <v>8</v>
      </c>
      <c r="O79" s="3" t="s">
        <v>10</v>
      </c>
      <c r="P79" s="72"/>
      <c r="Q79" s="89"/>
    </row>
    <row r="80" spans="1:17" ht="15.5" x14ac:dyDescent="0.3">
      <c r="A80" s="71"/>
      <c r="B80" s="91"/>
      <c r="C80" s="2" t="s">
        <v>13</v>
      </c>
      <c r="D80" s="6">
        <v>70</v>
      </c>
      <c r="E80" s="6">
        <v>68</v>
      </c>
      <c r="F80" s="6">
        <v>86</v>
      </c>
      <c r="G80" s="6">
        <v>79</v>
      </c>
      <c r="H80" s="6">
        <v>41</v>
      </c>
      <c r="I80" s="6">
        <v>76</v>
      </c>
      <c r="J80" s="6">
        <v>82</v>
      </c>
      <c r="K80" s="6">
        <v>70</v>
      </c>
      <c r="L80" s="6">
        <v>65</v>
      </c>
      <c r="M80" s="6">
        <v>70</v>
      </c>
      <c r="N80" s="6">
        <v>61</v>
      </c>
      <c r="O80" s="6">
        <v>79</v>
      </c>
      <c r="P80" s="2">
        <f>SUM(D80:O80)</f>
        <v>847</v>
      </c>
      <c r="Q80" s="63">
        <f>AVERAGE(D80:O80)</f>
        <v>70.583333333333329</v>
      </c>
    </row>
    <row r="81" spans="1:17" x14ac:dyDescent="0.3">
      <c r="A81" s="71"/>
      <c r="B81" s="91"/>
      <c r="C81" s="2" t="s">
        <v>14</v>
      </c>
      <c r="D81" s="54">
        <v>62</v>
      </c>
      <c r="E81" s="54">
        <v>61</v>
      </c>
      <c r="F81" s="54">
        <v>60</v>
      </c>
      <c r="G81" s="54">
        <v>62</v>
      </c>
      <c r="H81" s="54">
        <v>65</v>
      </c>
      <c r="I81" s="54">
        <v>59</v>
      </c>
      <c r="J81" s="54">
        <v>58</v>
      </c>
      <c r="K81" s="54">
        <v>58</v>
      </c>
      <c r="L81" s="54">
        <v>60</v>
      </c>
      <c r="M81" s="54">
        <v>61</v>
      </c>
      <c r="N81" s="54">
        <v>59</v>
      </c>
      <c r="O81" s="54">
        <v>62</v>
      </c>
      <c r="P81" s="2">
        <f t="shared" ref="P81:P88" si="20">SUM(D81:O81)</f>
        <v>727</v>
      </c>
      <c r="Q81" s="63">
        <f t="shared" ref="Q81:Q88" si="21">AVERAGE(D81:O81)</f>
        <v>60.583333333333336</v>
      </c>
    </row>
    <row r="82" spans="1:17" x14ac:dyDescent="0.3">
      <c r="A82" s="71"/>
      <c r="B82" s="91"/>
      <c r="C82" s="2" t="s">
        <v>15</v>
      </c>
      <c r="D82" s="54">
        <v>60</v>
      </c>
      <c r="E82" s="54">
        <v>59</v>
      </c>
      <c r="F82" s="54">
        <v>61</v>
      </c>
      <c r="G82" s="54">
        <v>62</v>
      </c>
      <c r="H82" s="54">
        <v>58</v>
      </c>
      <c r="I82" s="54">
        <v>63</v>
      </c>
      <c r="J82" s="54">
        <v>61</v>
      </c>
      <c r="K82" s="54">
        <v>60</v>
      </c>
      <c r="L82" s="54">
        <v>64</v>
      </c>
      <c r="M82" s="54">
        <v>59</v>
      </c>
      <c r="N82" s="54">
        <v>61</v>
      </c>
      <c r="O82" s="54">
        <v>65</v>
      </c>
      <c r="P82" s="2">
        <f t="shared" si="20"/>
        <v>733</v>
      </c>
      <c r="Q82" s="63">
        <f t="shared" si="21"/>
        <v>61.083333333333336</v>
      </c>
    </row>
    <row r="83" spans="1:17" ht="15.5" x14ac:dyDescent="0.3">
      <c r="A83" s="71"/>
      <c r="B83" s="91"/>
      <c r="C83" s="2" t="s">
        <v>16</v>
      </c>
      <c r="D83" s="6">
        <v>65</v>
      </c>
      <c r="E83" s="6">
        <v>57</v>
      </c>
      <c r="F83" s="6">
        <v>51</v>
      </c>
      <c r="G83" s="6">
        <v>62</v>
      </c>
      <c r="H83" s="6">
        <v>101</v>
      </c>
      <c r="I83" s="6">
        <v>54</v>
      </c>
      <c r="J83" s="6">
        <v>64</v>
      </c>
      <c r="K83" s="6">
        <v>67</v>
      </c>
      <c r="L83" s="6">
        <v>46</v>
      </c>
      <c r="M83" s="6">
        <v>50</v>
      </c>
      <c r="N83" s="6">
        <v>71</v>
      </c>
      <c r="O83" s="6">
        <v>75</v>
      </c>
      <c r="P83" s="2">
        <f t="shared" si="20"/>
        <v>763</v>
      </c>
      <c r="Q83" s="63">
        <f t="shared" si="21"/>
        <v>63.583333333333336</v>
      </c>
    </row>
    <row r="84" spans="1:17" ht="15.5" x14ac:dyDescent="0.3">
      <c r="A84" s="71"/>
      <c r="B84" s="91"/>
      <c r="C84" s="2" t="s">
        <v>17</v>
      </c>
      <c r="D84" s="6">
        <v>74</v>
      </c>
      <c r="E84" s="6">
        <v>57</v>
      </c>
      <c r="F84" s="6">
        <v>51</v>
      </c>
      <c r="G84" s="6">
        <v>62</v>
      </c>
      <c r="H84" s="6">
        <v>56</v>
      </c>
      <c r="I84" s="6">
        <v>46</v>
      </c>
      <c r="J84" s="6">
        <v>62</v>
      </c>
      <c r="K84" s="6">
        <v>33</v>
      </c>
      <c r="L84" s="6">
        <v>49</v>
      </c>
      <c r="M84" s="6">
        <v>46</v>
      </c>
      <c r="N84" s="6">
        <v>48</v>
      </c>
      <c r="O84" s="6">
        <v>64</v>
      </c>
      <c r="P84" s="2">
        <f t="shared" si="20"/>
        <v>648</v>
      </c>
      <c r="Q84" s="63">
        <f t="shared" si="21"/>
        <v>54</v>
      </c>
    </row>
    <row r="85" spans="1:17" ht="15.5" x14ac:dyDescent="0.3">
      <c r="A85" s="71"/>
      <c r="B85" s="91"/>
      <c r="C85" s="2" t="s">
        <v>18</v>
      </c>
      <c r="D85" s="6">
        <v>58</v>
      </c>
      <c r="E85" s="6">
        <v>55</v>
      </c>
      <c r="F85" s="6">
        <v>40</v>
      </c>
      <c r="G85" s="6">
        <v>52</v>
      </c>
      <c r="H85" s="6">
        <v>82</v>
      </c>
      <c r="I85" s="6">
        <v>50</v>
      </c>
      <c r="J85" s="6">
        <v>55</v>
      </c>
      <c r="K85" s="6">
        <v>56</v>
      </c>
      <c r="L85" s="6">
        <v>40</v>
      </c>
      <c r="M85" s="6">
        <v>48</v>
      </c>
      <c r="N85" s="6">
        <v>50</v>
      </c>
      <c r="O85" s="6">
        <v>47</v>
      </c>
      <c r="P85" s="2">
        <f t="shared" si="20"/>
        <v>633</v>
      </c>
      <c r="Q85" s="63">
        <f t="shared" si="21"/>
        <v>52.75</v>
      </c>
    </row>
    <row r="86" spans="1:17" ht="15.5" x14ac:dyDescent="0.3">
      <c r="A86" s="71"/>
      <c r="B86" s="91"/>
      <c r="C86" s="2" t="s">
        <v>19</v>
      </c>
      <c r="D86" s="6">
        <v>70</v>
      </c>
      <c r="E86" s="6">
        <v>86</v>
      </c>
      <c r="F86" s="6">
        <v>85</v>
      </c>
      <c r="G86" s="6">
        <v>78</v>
      </c>
      <c r="H86" s="6">
        <v>49</v>
      </c>
      <c r="I86" s="6">
        <v>89</v>
      </c>
      <c r="J86" s="6">
        <v>79</v>
      </c>
      <c r="K86" s="6">
        <v>82</v>
      </c>
      <c r="L86" s="6">
        <v>65</v>
      </c>
      <c r="M86" s="6">
        <v>62</v>
      </c>
      <c r="N86" s="6">
        <v>62</v>
      </c>
      <c r="O86" s="6">
        <v>55</v>
      </c>
      <c r="P86" s="2">
        <f t="shared" si="20"/>
        <v>862</v>
      </c>
      <c r="Q86" s="63">
        <f t="shared" si="21"/>
        <v>71.833333333333329</v>
      </c>
    </row>
    <row r="87" spans="1:17" ht="15.5" x14ac:dyDescent="0.3">
      <c r="A87" s="71"/>
      <c r="B87" s="91"/>
      <c r="C87" s="2" t="s">
        <v>20</v>
      </c>
      <c r="D87" s="6">
        <v>97</v>
      </c>
      <c r="E87" s="6">
        <v>95</v>
      </c>
      <c r="F87" s="6">
        <v>82</v>
      </c>
      <c r="G87" s="6">
        <v>59</v>
      </c>
      <c r="H87" s="6">
        <v>59</v>
      </c>
      <c r="I87" s="6">
        <v>49</v>
      </c>
      <c r="J87" s="6">
        <v>77</v>
      </c>
      <c r="K87" s="6">
        <v>93</v>
      </c>
      <c r="L87" s="6">
        <v>94</v>
      </c>
      <c r="M87" s="6">
        <v>64</v>
      </c>
      <c r="N87" s="6">
        <v>112</v>
      </c>
      <c r="O87" s="6">
        <v>59</v>
      </c>
      <c r="P87" s="2">
        <f t="shared" si="20"/>
        <v>940</v>
      </c>
      <c r="Q87" s="63">
        <f t="shared" si="21"/>
        <v>78.333333333333329</v>
      </c>
    </row>
    <row r="88" spans="1:17" ht="15.5" x14ac:dyDescent="0.3">
      <c r="A88" s="71"/>
      <c r="B88" s="91"/>
      <c r="C88" s="2" t="s">
        <v>21</v>
      </c>
      <c r="D88" s="6">
        <v>59</v>
      </c>
      <c r="E88" s="6">
        <v>89</v>
      </c>
      <c r="F88" s="6">
        <v>121</v>
      </c>
      <c r="G88" s="6">
        <v>98</v>
      </c>
      <c r="H88" s="6">
        <v>101</v>
      </c>
      <c r="I88" s="6">
        <v>59</v>
      </c>
      <c r="J88" s="6">
        <v>61</v>
      </c>
      <c r="K88" s="6">
        <v>68</v>
      </c>
      <c r="L88" s="6">
        <v>103</v>
      </c>
      <c r="M88" s="6">
        <v>83</v>
      </c>
      <c r="N88" s="6">
        <v>83</v>
      </c>
      <c r="O88" s="6">
        <v>57</v>
      </c>
      <c r="P88" s="2">
        <f t="shared" si="20"/>
        <v>982</v>
      </c>
      <c r="Q88" s="63">
        <f t="shared" si="21"/>
        <v>81.833333333333329</v>
      </c>
    </row>
    <row r="89" spans="1:17" x14ac:dyDescent="0.3">
      <c r="A89" s="71"/>
      <c r="B89" s="91"/>
      <c r="C89" s="2" t="s">
        <v>48</v>
      </c>
      <c r="D89" s="2">
        <f>SUM(D80:D88)</f>
        <v>615</v>
      </c>
      <c r="E89" s="2">
        <f t="shared" ref="E89:O89" si="22">SUM(E80:E88)</f>
        <v>627</v>
      </c>
      <c r="F89" s="2">
        <f t="shared" si="22"/>
        <v>637</v>
      </c>
      <c r="G89" s="2">
        <f t="shared" si="22"/>
        <v>614</v>
      </c>
      <c r="H89" s="2">
        <f t="shared" si="22"/>
        <v>612</v>
      </c>
      <c r="I89" s="2">
        <f t="shared" si="22"/>
        <v>545</v>
      </c>
      <c r="J89" s="2">
        <f t="shared" si="22"/>
        <v>599</v>
      </c>
      <c r="K89" s="2">
        <f t="shared" si="22"/>
        <v>587</v>
      </c>
      <c r="L89" s="2">
        <f t="shared" si="22"/>
        <v>586</v>
      </c>
      <c r="M89" s="2">
        <f t="shared" si="22"/>
        <v>543</v>
      </c>
      <c r="N89" s="2">
        <f t="shared" si="22"/>
        <v>607</v>
      </c>
      <c r="O89" s="2">
        <f t="shared" si="22"/>
        <v>563</v>
      </c>
      <c r="P89" s="2">
        <f>SUM(D89:O89)</f>
        <v>7135</v>
      </c>
      <c r="Q89" s="63"/>
    </row>
    <row r="90" spans="1:17" x14ac:dyDescent="0.3">
      <c r="A90" s="72"/>
      <c r="B90" s="92"/>
      <c r="C90" s="2" t="s">
        <v>47</v>
      </c>
      <c r="D90" s="63">
        <f>AVERAGE(D80:D88)</f>
        <v>68.333333333333329</v>
      </c>
      <c r="E90" s="63">
        <f t="shared" ref="E90:O90" si="23">AVERAGE(E80:E88)</f>
        <v>69.666666666666671</v>
      </c>
      <c r="F90" s="63">
        <f t="shared" si="23"/>
        <v>70.777777777777771</v>
      </c>
      <c r="G90" s="63">
        <f t="shared" si="23"/>
        <v>68.222222222222229</v>
      </c>
      <c r="H90" s="63">
        <f t="shared" si="23"/>
        <v>68</v>
      </c>
      <c r="I90" s="63">
        <f t="shared" si="23"/>
        <v>60.555555555555557</v>
      </c>
      <c r="J90" s="63">
        <f t="shared" si="23"/>
        <v>66.555555555555557</v>
      </c>
      <c r="K90" s="63">
        <f t="shared" si="23"/>
        <v>65.222222222222229</v>
      </c>
      <c r="L90" s="63">
        <f t="shared" si="23"/>
        <v>65.111111111111114</v>
      </c>
      <c r="M90" s="63">
        <f t="shared" si="23"/>
        <v>60.333333333333336</v>
      </c>
      <c r="N90" s="63">
        <f t="shared" si="23"/>
        <v>67.444444444444443</v>
      </c>
      <c r="O90" s="63">
        <f t="shared" si="23"/>
        <v>62.555555555555557</v>
      </c>
      <c r="P90" s="2"/>
      <c r="Q90" s="63"/>
    </row>
    <row r="91" spans="1:17" x14ac:dyDescent="0.3">
      <c r="Q91" s="55"/>
    </row>
    <row r="92" spans="1:17" x14ac:dyDescent="0.3">
      <c r="A92" s="3" t="s">
        <v>29</v>
      </c>
      <c r="B92" s="3" t="s">
        <v>35</v>
      </c>
      <c r="C92" s="70" t="s">
        <v>2</v>
      </c>
      <c r="D92" s="84" t="s">
        <v>3</v>
      </c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6"/>
      <c r="P92" s="70" t="s">
        <v>48</v>
      </c>
      <c r="Q92" s="87" t="s">
        <v>47</v>
      </c>
    </row>
    <row r="93" spans="1:17" x14ac:dyDescent="0.3">
      <c r="A93" s="70">
        <v>7</v>
      </c>
      <c r="B93" s="90" t="s">
        <v>55</v>
      </c>
      <c r="C93" s="71"/>
      <c r="D93" s="84" t="s">
        <v>4</v>
      </c>
      <c r="E93" s="85"/>
      <c r="F93" s="85"/>
      <c r="G93" s="86"/>
      <c r="H93" s="84" t="s">
        <v>11</v>
      </c>
      <c r="I93" s="85"/>
      <c r="J93" s="85"/>
      <c r="K93" s="86"/>
      <c r="L93" s="84" t="s">
        <v>12</v>
      </c>
      <c r="M93" s="85"/>
      <c r="N93" s="85"/>
      <c r="O93" s="86"/>
      <c r="P93" s="71"/>
      <c r="Q93" s="88"/>
    </row>
    <row r="94" spans="1:17" x14ac:dyDescent="0.3">
      <c r="A94" s="71"/>
      <c r="B94" s="91"/>
      <c r="C94" s="72"/>
      <c r="D94" s="3" t="s">
        <v>5</v>
      </c>
      <c r="E94" s="3" t="s">
        <v>7</v>
      </c>
      <c r="F94" s="3" t="s">
        <v>8</v>
      </c>
      <c r="G94" s="3" t="s">
        <v>10</v>
      </c>
      <c r="H94" s="3" t="s">
        <v>5</v>
      </c>
      <c r="I94" s="3" t="s">
        <v>7</v>
      </c>
      <c r="J94" s="3" t="s">
        <v>8</v>
      </c>
      <c r="K94" s="3" t="s">
        <v>10</v>
      </c>
      <c r="L94" s="3" t="s">
        <v>5</v>
      </c>
      <c r="M94" s="3" t="s">
        <v>7</v>
      </c>
      <c r="N94" s="3" t="s">
        <v>8</v>
      </c>
      <c r="O94" s="3" t="s">
        <v>10</v>
      </c>
      <c r="P94" s="72"/>
      <c r="Q94" s="89"/>
    </row>
    <row r="95" spans="1:17" ht="15.5" x14ac:dyDescent="0.3">
      <c r="A95" s="71"/>
      <c r="B95" s="91"/>
      <c r="C95" s="2" t="s">
        <v>13</v>
      </c>
      <c r="D95" s="6">
        <v>65</v>
      </c>
      <c r="E95" s="6">
        <v>70</v>
      </c>
      <c r="F95" s="6">
        <v>88</v>
      </c>
      <c r="G95" s="6">
        <v>81</v>
      </c>
      <c r="H95" s="6">
        <v>45</v>
      </c>
      <c r="I95" s="6">
        <v>74</v>
      </c>
      <c r="J95" s="6">
        <v>80</v>
      </c>
      <c r="K95" s="6">
        <v>73</v>
      </c>
      <c r="L95" s="6">
        <v>73</v>
      </c>
      <c r="M95" s="6">
        <v>70</v>
      </c>
      <c r="N95" s="6">
        <v>67</v>
      </c>
      <c r="O95" s="6">
        <v>77</v>
      </c>
      <c r="P95" s="2">
        <f>SUM(D95:O95)</f>
        <v>863</v>
      </c>
      <c r="Q95" s="63">
        <f>AVERAGE(D95:O95)</f>
        <v>71.916666666666671</v>
      </c>
    </row>
    <row r="96" spans="1:17" x14ac:dyDescent="0.3">
      <c r="A96" s="71"/>
      <c r="B96" s="91"/>
      <c r="C96" s="2" t="s">
        <v>14</v>
      </c>
      <c r="D96" s="54">
        <v>65</v>
      </c>
      <c r="E96" s="54">
        <v>64</v>
      </c>
      <c r="F96" s="54">
        <v>67</v>
      </c>
      <c r="G96" s="54">
        <v>68</v>
      </c>
      <c r="H96" s="54">
        <v>69</v>
      </c>
      <c r="I96" s="54">
        <v>71</v>
      </c>
      <c r="J96" s="54">
        <v>70</v>
      </c>
      <c r="K96" s="54">
        <v>68</v>
      </c>
      <c r="L96" s="54">
        <v>67</v>
      </c>
      <c r="M96" s="54">
        <v>66</v>
      </c>
      <c r="N96" s="54">
        <v>65</v>
      </c>
      <c r="O96" s="54">
        <v>64</v>
      </c>
      <c r="P96" s="2">
        <f t="shared" ref="P96:P104" si="24">SUM(D96:O96)</f>
        <v>804</v>
      </c>
      <c r="Q96" s="63">
        <f t="shared" ref="Q96:Q103" si="25">AVERAGE(D96:O96)</f>
        <v>67</v>
      </c>
    </row>
    <row r="97" spans="1:17" x14ac:dyDescent="0.3">
      <c r="A97" s="71"/>
      <c r="B97" s="91"/>
      <c r="C97" s="2" t="s">
        <v>15</v>
      </c>
      <c r="D97" s="54">
        <v>69</v>
      </c>
      <c r="E97" s="54">
        <v>71</v>
      </c>
      <c r="F97" s="54">
        <v>68</v>
      </c>
      <c r="G97" s="54">
        <v>67</v>
      </c>
      <c r="H97" s="54">
        <v>69</v>
      </c>
      <c r="I97" s="54">
        <v>72</v>
      </c>
      <c r="J97" s="54">
        <v>66</v>
      </c>
      <c r="K97" s="54">
        <v>68</v>
      </c>
      <c r="L97" s="54">
        <v>65</v>
      </c>
      <c r="M97" s="54">
        <v>66</v>
      </c>
      <c r="N97" s="54">
        <v>68</v>
      </c>
      <c r="O97" s="54">
        <v>69</v>
      </c>
      <c r="P97" s="2">
        <f t="shared" si="24"/>
        <v>818</v>
      </c>
      <c r="Q97" s="63">
        <f t="shared" si="25"/>
        <v>68.166666666666671</v>
      </c>
    </row>
    <row r="98" spans="1:17" ht="15.5" x14ac:dyDescent="0.3">
      <c r="A98" s="71"/>
      <c r="B98" s="91"/>
      <c r="C98" s="2" t="s">
        <v>16</v>
      </c>
      <c r="D98" s="6">
        <v>70</v>
      </c>
      <c r="E98" s="6">
        <v>64</v>
      </c>
      <c r="F98" s="6">
        <v>59</v>
      </c>
      <c r="G98" s="6">
        <v>68</v>
      </c>
      <c r="H98" s="6">
        <v>105</v>
      </c>
      <c r="I98" s="6">
        <v>60</v>
      </c>
      <c r="J98" s="6">
        <v>69</v>
      </c>
      <c r="K98" s="6">
        <v>73</v>
      </c>
      <c r="L98" s="6">
        <v>55</v>
      </c>
      <c r="M98" s="6">
        <v>53</v>
      </c>
      <c r="N98" s="6">
        <v>73</v>
      </c>
      <c r="O98" s="6">
        <v>76</v>
      </c>
      <c r="P98" s="2">
        <f t="shared" si="24"/>
        <v>825</v>
      </c>
      <c r="Q98" s="63">
        <f t="shared" si="25"/>
        <v>68.75</v>
      </c>
    </row>
    <row r="99" spans="1:17" ht="15.5" x14ac:dyDescent="0.3">
      <c r="A99" s="71"/>
      <c r="B99" s="91"/>
      <c r="C99" s="2" t="s">
        <v>17</v>
      </c>
      <c r="D99" s="6">
        <v>80</v>
      </c>
      <c r="E99" s="6">
        <v>60</v>
      </c>
      <c r="F99" s="6">
        <v>61</v>
      </c>
      <c r="G99" s="6">
        <v>72</v>
      </c>
      <c r="H99" s="6">
        <v>59</v>
      </c>
      <c r="I99" s="6">
        <v>55</v>
      </c>
      <c r="J99" s="6">
        <v>69</v>
      </c>
      <c r="K99" s="6">
        <v>40</v>
      </c>
      <c r="L99" s="6">
        <v>51</v>
      </c>
      <c r="M99" s="6">
        <v>48</v>
      </c>
      <c r="N99" s="6">
        <v>50</v>
      </c>
      <c r="O99" s="6">
        <v>67</v>
      </c>
      <c r="P99" s="2">
        <f t="shared" si="24"/>
        <v>712</v>
      </c>
      <c r="Q99" s="63">
        <f t="shared" si="25"/>
        <v>59.333333333333336</v>
      </c>
    </row>
    <row r="100" spans="1:17" ht="15.5" x14ac:dyDescent="0.3">
      <c r="A100" s="71"/>
      <c r="B100" s="91"/>
      <c r="C100" s="2" t="s">
        <v>18</v>
      </c>
      <c r="D100" s="6">
        <v>59</v>
      </c>
      <c r="E100" s="6">
        <v>55</v>
      </c>
      <c r="F100" s="6">
        <v>45</v>
      </c>
      <c r="G100" s="6">
        <v>55</v>
      </c>
      <c r="H100" s="6">
        <v>84</v>
      </c>
      <c r="I100" s="6">
        <v>61</v>
      </c>
      <c r="J100" s="6">
        <v>60</v>
      </c>
      <c r="K100" s="6">
        <v>62</v>
      </c>
      <c r="L100" s="6">
        <v>46</v>
      </c>
      <c r="M100" s="6">
        <v>50</v>
      </c>
      <c r="N100" s="6">
        <v>53</v>
      </c>
      <c r="O100" s="6">
        <v>54</v>
      </c>
      <c r="P100" s="2">
        <f t="shared" si="24"/>
        <v>684</v>
      </c>
      <c r="Q100" s="63">
        <f t="shared" si="25"/>
        <v>57</v>
      </c>
    </row>
    <row r="101" spans="1:17" ht="15.5" x14ac:dyDescent="0.3">
      <c r="A101" s="71"/>
      <c r="B101" s="91"/>
      <c r="C101" s="2" t="s">
        <v>19</v>
      </c>
      <c r="D101" s="6">
        <v>85</v>
      </c>
      <c r="E101" s="6">
        <v>80</v>
      </c>
      <c r="F101" s="6">
        <v>92</v>
      </c>
      <c r="G101" s="6">
        <v>86</v>
      </c>
      <c r="H101" s="6">
        <v>52</v>
      </c>
      <c r="I101" s="6">
        <v>86</v>
      </c>
      <c r="J101" s="6">
        <v>85</v>
      </c>
      <c r="K101" s="6">
        <v>96</v>
      </c>
      <c r="L101" s="6">
        <v>78</v>
      </c>
      <c r="M101" s="6">
        <v>81</v>
      </c>
      <c r="N101" s="6">
        <v>85</v>
      </c>
      <c r="O101" s="6">
        <v>71</v>
      </c>
      <c r="P101" s="2">
        <f t="shared" si="24"/>
        <v>977</v>
      </c>
      <c r="Q101" s="63">
        <f t="shared" si="25"/>
        <v>81.416666666666671</v>
      </c>
    </row>
    <row r="102" spans="1:17" ht="15.5" x14ac:dyDescent="0.3">
      <c r="A102" s="71"/>
      <c r="B102" s="91"/>
      <c r="C102" s="2" t="s">
        <v>20</v>
      </c>
      <c r="D102" s="6">
        <v>113</v>
      </c>
      <c r="E102" s="6">
        <v>107</v>
      </c>
      <c r="F102" s="6">
        <v>93</v>
      </c>
      <c r="G102" s="6">
        <v>65</v>
      </c>
      <c r="H102" s="6">
        <v>65</v>
      </c>
      <c r="I102" s="6">
        <v>56</v>
      </c>
      <c r="J102" s="6">
        <v>86</v>
      </c>
      <c r="K102" s="6">
        <v>102</v>
      </c>
      <c r="L102" s="6">
        <v>102</v>
      </c>
      <c r="M102" s="6">
        <v>74</v>
      </c>
      <c r="N102" s="6">
        <v>109</v>
      </c>
      <c r="O102" s="6">
        <v>68</v>
      </c>
      <c r="P102" s="2">
        <f t="shared" si="24"/>
        <v>1040</v>
      </c>
      <c r="Q102" s="63">
        <f t="shared" si="25"/>
        <v>86.666666666666671</v>
      </c>
    </row>
    <row r="103" spans="1:17" ht="15.5" x14ac:dyDescent="0.3">
      <c r="A103" s="71"/>
      <c r="B103" s="91"/>
      <c r="C103" s="2" t="s">
        <v>21</v>
      </c>
      <c r="D103" s="6">
        <v>67</v>
      </c>
      <c r="E103" s="6">
        <v>83</v>
      </c>
      <c r="F103" s="6">
        <v>119</v>
      </c>
      <c r="G103" s="6">
        <v>97</v>
      </c>
      <c r="H103" s="6">
        <v>105</v>
      </c>
      <c r="I103" s="6">
        <v>63</v>
      </c>
      <c r="J103" s="6">
        <v>69</v>
      </c>
      <c r="K103" s="6">
        <v>74</v>
      </c>
      <c r="L103" s="6">
        <v>110</v>
      </c>
      <c r="M103" s="6">
        <v>80</v>
      </c>
      <c r="N103" s="6">
        <v>91</v>
      </c>
      <c r="O103" s="6">
        <v>69</v>
      </c>
      <c r="P103" s="2">
        <f t="shared" si="24"/>
        <v>1027</v>
      </c>
      <c r="Q103" s="63">
        <f t="shared" si="25"/>
        <v>85.583333333333329</v>
      </c>
    </row>
    <row r="104" spans="1:17" x14ac:dyDescent="0.3">
      <c r="A104" s="71"/>
      <c r="B104" s="91"/>
      <c r="C104" s="2" t="s">
        <v>48</v>
      </c>
      <c r="D104" s="2">
        <f>SUM(D95:D103)</f>
        <v>673</v>
      </c>
      <c r="E104" s="2">
        <f t="shared" ref="E104:O104" si="26">SUM(E95:E103)</f>
        <v>654</v>
      </c>
      <c r="F104" s="2">
        <f t="shared" si="26"/>
        <v>692</v>
      </c>
      <c r="G104" s="2">
        <f t="shared" si="26"/>
        <v>659</v>
      </c>
      <c r="H104" s="2">
        <f t="shared" si="26"/>
        <v>653</v>
      </c>
      <c r="I104" s="2">
        <f t="shared" si="26"/>
        <v>598</v>
      </c>
      <c r="J104" s="2">
        <f t="shared" si="26"/>
        <v>654</v>
      </c>
      <c r="K104" s="2">
        <f t="shared" si="26"/>
        <v>656</v>
      </c>
      <c r="L104" s="2">
        <f t="shared" si="26"/>
        <v>647</v>
      </c>
      <c r="M104" s="2">
        <f t="shared" si="26"/>
        <v>588</v>
      </c>
      <c r="N104" s="2">
        <f t="shared" si="26"/>
        <v>661</v>
      </c>
      <c r="O104" s="2">
        <f t="shared" si="26"/>
        <v>615</v>
      </c>
      <c r="P104" s="2">
        <f t="shared" si="24"/>
        <v>7750</v>
      </c>
      <c r="Q104" s="63"/>
    </row>
    <row r="105" spans="1:17" x14ac:dyDescent="0.3">
      <c r="A105" s="72"/>
      <c r="B105" s="92"/>
      <c r="C105" s="2" t="s">
        <v>47</v>
      </c>
      <c r="D105" s="63">
        <f>AVERAGE(D95:D103)</f>
        <v>74.777777777777771</v>
      </c>
      <c r="E105" s="63">
        <f t="shared" ref="E105:O105" si="27">AVERAGE(E95:E103)</f>
        <v>72.666666666666671</v>
      </c>
      <c r="F105" s="63">
        <f t="shared" si="27"/>
        <v>76.888888888888886</v>
      </c>
      <c r="G105" s="63">
        <f t="shared" si="27"/>
        <v>73.222222222222229</v>
      </c>
      <c r="H105" s="63">
        <f t="shared" si="27"/>
        <v>72.555555555555557</v>
      </c>
      <c r="I105" s="63">
        <f t="shared" si="27"/>
        <v>66.444444444444443</v>
      </c>
      <c r="J105" s="63">
        <f t="shared" si="27"/>
        <v>72.666666666666671</v>
      </c>
      <c r="K105" s="63">
        <f t="shared" si="27"/>
        <v>72.888888888888886</v>
      </c>
      <c r="L105" s="63">
        <f t="shared" si="27"/>
        <v>71.888888888888886</v>
      </c>
      <c r="M105" s="63">
        <f t="shared" si="27"/>
        <v>65.333333333333329</v>
      </c>
      <c r="N105" s="63">
        <f t="shared" si="27"/>
        <v>73.444444444444443</v>
      </c>
      <c r="O105" s="63">
        <f t="shared" si="27"/>
        <v>68.333333333333329</v>
      </c>
      <c r="P105" s="2"/>
      <c r="Q105" s="63"/>
    </row>
    <row r="106" spans="1:17" x14ac:dyDescent="0.3">
      <c r="Q106" s="55"/>
    </row>
    <row r="107" spans="1:17" x14ac:dyDescent="0.3">
      <c r="A107" s="3" t="s">
        <v>29</v>
      </c>
      <c r="B107" s="3" t="s">
        <v>35</v>
      </c>
      <c r="C107" s="70" t="s">
        <v>2</v>
      </c>
      <c r="D107" s="84" t="s">
        <v>3</v>
      </c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6"/>
      <c r="P107" s="70" t="s">
        <v>48</v>
      </c>
      <c r="Q107" s="87" t="s">
        <v>47</v>
      </c>
    </row>
    <row r="108" spans="1:17" x14ac:dyDescent="0.3">
      <c r="A108" s="70">
        <v>8</v>
      </c>
      <c r="B108" s="90" t="s">
        <v>56</v>
      </c>
      <c r="C108" s="71"/>
      <c r="D108" s="84" t="s">
        <v>4</v>
      </c>
      <c r="E108" s="85"/>
      <c r="F108" s="85"/>
      <c r="G108" s="86"/>
      <c r="H108" s="84" t="s">
        <v>11</v>
      </c>
      <c r="I108" s="85"/>
      <c r="J108" s="85"/>
      <c r="K108" s="86"/>
      <c r="L108" s="84" t="s">
        <v>12</v>
      </c>
      <c r="M108" s="85"/>
      <c r="N108" s="85"/>
      <c r="O108" s="86"/>
      <c r="P108" s="71"/>
      <c r="Q108" s="88"/>
    </row>
    <row r="109" spans="1:17" x14ac:dyDescent="0.3">
      <c r="A109" s="71"/>
      <c r="B109" s="91"/>
      <c r="C109" s="72"/>
      <c r="D109" s="3" t="s">
        <v>5</v>
      </c>
      <c r="E109" s="3" t="s">
        <v>7</v>
      </c>
      <c r="F109" s="3" t="s">
        <v>8</v>
      </c>
      <c r="G109" s="3" t="s">
        <v>10</v>
      </c>
      <c r="H109" s="3" t="s">
        <v>5</v>
      </c>
      <c r="I109" s="3" t="s">
        <v>7</v>
      </c>
      <c r="J109" s="3" t="s">
        <v>8</v>
      </c>
      <c r="K109" s="3" t="s">
        <v>10</v>
      </c>
      <c r="L109" s="3" t="s">
        <v>5</v>
      </c>
      <c r="M109" s="3" t="s">
        <v>7</v>
      </c>
      <c r="N109" s="3" t="s">
        <v>8</v>
      </c>
      <c r="O109" s="3" t="s">
        <v>10</v>
      </c>
      <c r="P109" s="72"/>
      <c r="Q109" s="89"/>
    </row>
    <row r="110" spans="1:17" ht="15.5" x14ac:dyDescent="0.3">
      <c r="A110" s="71"/>
      <c r="B110" s="91"/>
      <c r="C110" s="2" t="s">
        <v>13</v>
      </c>
      <c r="D110" s="6">
        <v>74</v>
      </c>
      <c r="E110" s="6">
        <v>68</v>
      </c>
      <c r="F110" s="6">
        <v>89</v>
      </c>
      <c r="G110" s="6">
        <v>79</v>
      </c>
      <c r="H110" s="6">
        <v>51</v>
      </c>
      <c r="I110" s="6">
        <v>74</v>
      </c>
      <c r="J110" s="6">
        <v>82</v>
      </c>
      <c r="K110" s="6">
        <v>70</v>
      </c>
      <c r="L110" s="6">
        <v>78</v>
      </c>
      <c r="M110" s="6">
        <v>74</v>
      </c>
      <c r="N110" s="6">
        <v>69</v>
      </c>
      <c r="O110" s="6">
        <v>79</v>
      </c>
      <c r="P110" s="2">
        <f>SUM(D110:O110)</f>
        <v>887</v>
      </c>
      <c r="Q110" s="63">
        <f>AVERAGE(D110:O110)</f>
        <v>73.916666666666671</v>
      </c>
    </row>
    <row r="111" spans="1:17" x14ac:dyDescent="0.3">
      <c r="A111" s="71"/>
      <c r="B111" s="91"/>
      <c r="C111" s="2" t="s">
        <v>14</v>
      </c>
      <c r="D111" s="54">
        <v>71</v>
      </c>
      <c r="E111" s="54">
        <v>72</v>
      </c>
      <c r="F111" s="54">
        <v>68</v>
      </c>
      <c r="G111" s="54">
        <v>73</v>
      </c>
      <c r="H111" s="54">
        <v>69</v>
      </c>
      <c r="I111" s="54">
        <v>71</v>
      </c>
      <c r="J111" s="54">
        <v>70</v>
      </c>
      <c r="K111" s="54">
        <v>73</v>
      </c>
      <c r="L111" s="54">
        <v>72</v>
      </c>
      <c r="M111" s="54">
        <v>74</v>
      </c>
      <c r="N111" s="54">
        <v>70</v>
      </c>
      <c r="O111" s="54">
        <v>69</v>
      </c>
      <c r="P111" s="2">
        <f t="shared" ref="P111:P119" si="28">SUM(D111:O111)</f>
        <v>852</v>
      </c>
      <c r="Q111" s="63">
        <f t="shared" ref="Q111:Q118" si="29">AVERAGE(D111:O111)</f>
        <v>71</v>
      </c>
    </row>
    <row r="112" spans="1:17" x14ac:dyDescent="0.3">
      <c r="A112" s="71"/>
      <c r="B112" s="91"/>
      <c r="C112" s="2" t="s">
        <v>15</v>
      </c>
      <c r="D112" s="54">
        <v>72</v>
      </c>
      <c r="E112" s="54">
        <v>71</v>
      </c>
      <c r="F112" s="54">
        <v>70</v>
      </c>
      <c r="G112" s="54">
        <v>73</v>
      </c>
      <c r="H112" s="54">
        <v>74</v>
      </c>
      <c r="I112" s="54">
        <v>71</v>
      </c>
      <c r="J112" s="54">
        <v>70</v>
      </c>
      <c r="K112" s="54">
        <v>69</v>
      </c>
      <c r="L112" s="54">
        <v>72</v>
      </c>
      <c r="M112" s="54">
        <v>74</v>
      </c>
      <c r="N112" s="54">
        <v>73</v>
      </c>
      <c r="O112" s="54">
        <v>72</v>
      </c>
      <c r="P112" s="2">
        <f t="shared" si="28"/>
        <v>861</v>
      </c>
      <c r="Q112" s="63">
        <f t="shared" si="29"/>
        <v>71.75</v>
      </c>
    </row>
    <row r="113" spans="1:17" ht="15.5" x14ac:dyDescent="0.3">
      <c r="A113" s="71"/>
      <c r="B113" s="91"/>
      <c r="C113" s="2" t="s">
        <v>16</v>
      </c>
      <c r="D113" s="6">
        <v>74</v>
      </c>
      <c r="E113" s="6">
        <v>69</v>
      </c>
      <c r="F113" s="6">
        <v>64</v>
      </c>
      <c r="G113" s="6">
        <v>70</v>
      </c>
      <c r="H113" s="6">
        <v>107</v>
      </c>
      <c r="I113" s="6">
        <v>65</v>
      </c>
      <c r="J113" s="6">
        <v>73</v>
      </c>
      <c r="K113" s="6">
        <v>75</v>
      </c>
      <c r="L113" s="6">
        <v>58</v>
      </c>
      <c r="M113" s="6">
        <v>55</v>
      </c>
      <c r="N113" s="6">
        <v>76</v>
      </c>
      <c r="O113" s="6">
        <v>78</v>
      </c>
      <c r="P113" s="2">
        <f t="shared" si="28"/>
        <v>864</v>
      </c>
      <c r="Q113" s="63">
        <f t="shared" si="29"/>
        <v>72</v>
      </c>
    </row>
    <row r="114" spans="1:17" ht="15.5" x14ac:dyDescent="0.3">
      <c r="A114" s="71"/>
      <c r="B114" s="91"/>
      <c r="C114" s="2" t="s">
        <v>17</v>
      </c>
      <c r="D114" s="6">
        <v>82</v>
      </c>
      <c r="E114" s="6">
        <v>66</v>
      </c>
      <c r="F114" s="6">
        <v>68</v>
      </c>
      <c r="G114" s="6">
        <v>75</v>
      </c>
      <c r="H114" s="6">
        <v>64</v>
      </c>
      <c r="I114" s="6">
        <v>65</v>
      </c>
      <c r="J114" s="6">
        <v>73</v>
      </c>
      <c r="K114" s="6">
        <v>50</v>
      </c>
      <c r="L114" s="6">
        <v>54</v>
      </c>
      <c r="M114" s="6">
        <v>52</v>
      </c>
      <c r="N114" s="6">
        <v>54</v>
      </c>
      <c r="O114" s="6">
        <v>69</v>
      </c>
      <c r="P114" s="2">
        <f t="shared" si="28"/>
        <v>772</v>
      </c>
      <c r="Q114" s="63">
        <f t="shared" si="29"/>
        <v>64.333333333333329</v>
      </c>
    </row>
    <row r="115" spans="1:17" ht="15.5" x14ac:dyDescent="0.3">
      <c r="A115" s="71"/>
      <c r="B115" s="91"/>
      <c r="C115" s="2" t="s">
        <v>18</v>
      </c>
      <c r="D115" s="6">
        <v>61</v>
      </c>
      <c r="E115" s="6">
        <v>60</v>
      </c>
      <c r="F115" s="6">
        <v>62</v>
      </c>
      <c r="G115" s="6">
        <v>63</v>
      </c>
      <c r="H115" s="6">
        <v>89</v>
      </c>
      <c r="I115" s="6">
        <v>67</v>
      </c>
      <c r="J115" s="6">
        <v>66</v>
      </c>
      <c r="K115" s="6">
        <v>69</v>
      </c>
      <c r="L115" s="6">
        <v>49</v>
      </c>
      <c r="M115" s="6">
        <v>54</v>
      </c>
      <c r="N115" s="6">
        <v>55</v>
      </c>
      <c r="O115" s="6">
        <v>58</v>
      </c>
      <c r="P115" s="2">
        <f t="shared" si="28"/>
        <v>753</v>
      </c>
      <c r="Q115" s="63">
        <f t="shared" si="29"/>
        <v>62.75</v>
      </c>
    </row>
    <row r="116" spans="1:17" ht="15.5" x14ac:dyDescent="0.3">
      <c r="A116" s="71"/>
      <c r="B116" s="91"/>
      <c r="C116" s="2" t="s">
        <v>19</v>
      </c>
      <c r="D116" s="6">
        <v>116</v>
      </c>
      <c r="E116" s="6">
        <v>90</v>
      </c>
      <c r="F116" s="6">
        <v>99</v>
      </c>
      <c r="G116" s="6">
        <v>90</v>
      </c>
      <c r="H116" s="6">
        <v>68</v>
      </c>
      <c r="I116" s="6">
        <v>84</v>
      </c>
      <c r="J116" s="6">
        <v>93</v>
      </c>
      <c r="K116" s="6">
        <v>104</v>
      </c>
      <c r="L116" s="6">
        <v>80</v>
      </c>
      <c r="M116" s="6">
        <v>93</v>
      </c>
      <c r="N116" s="6">
        <v>96</v>
      </c>
      <c r="O116" s="6">
        <v>86</v>
      </c>
      <c r="P116" s="2">
        <f t="shared" si="28"/>
        <v>1099</v>
      </c>
      <c r="Q116" s="63">
        <f t="shared" si="29"/>
        <v>91.583333333333329</v>
      </c>
    </row>
    <row r="117" spans="1:17" ht="15.5" x14ac:dyDescent="0.3">
      <c r="A117" s="71"/>
      <c r="B117" s="91"/>
      <c r="C117" s="2" t="s">
        <v>20</v>
      </c>
      <c r="D117" s="6">
        <v>79</v>
      </c>
      <c r="E117" s="6">
        <v>71</v>
      </c>
      <c r="F117" s="6">
        <v>96</v>
      </c>
      <c r="G117" s="6">
        <v>103</v>
      </c>
      <c r="H117" s="6">
        <v>121</v>
      </c>
      <c r="I117" s="6">
        <v>114</v>
      </c>
      <c r="J117" s="6">
        <v>106</v>
      </c>
      <c r="K117" s="6">
        <v>78</v>
      </c>
      <c r="L117" s="6">
        <v>103</v>
      </c>
      <c r="M117" s="6">
        <v>81</v>
      </c>
      <c r="N117" s="6">
        <v>102</v>
      </c>
      <c r="O117" s="6">
        <v>76</v>
      </c>
      <c r="P117" s="2">
        <f t="shared" si="28"/>
        <v>1130</v>
      </c>
      <c r="Q117" s="63">
        <f t="shared" si="29"/>
        <v>94.166666666666671</v>
      </c>
    </row>
    <row r="118" spans="1:17" ht="15.5" x14ac:dyDescent="0.3">
      <c r="A118" s="71"/>
      <c r="B118" s="91"/>
      <c r="C118" s="2" t="s">
        <v>21</v>
      </c>
      <c r="D118" s="6">
        <v>65</v>
      </c>
      <c r="E118" s="6">
        <v>89</v>
      </c>
      <c r="F118" s="6">
        <v>120</v>
      </c>
      <c r="G118" s="6">
        <v>101</v>
      </c>
      <c r="H118" s="6">
        <v>113</v>
      </c>
      <c r="I118" s="6">
        <v>70</v>
      </c>
      <c r="J118" s="6">
        <v>73</v>
      </c>
      <c r="K118" s="6">
        <v>75</v>
      </c>
      <c r="L118" s="6">
        <v>112</v>
      </c>
      <c r="M118" s="6">
        <v>92</v>
      </c>
      <c r="N118" s="6">
        <v>91</v>
      </c>
      <c r="O118" s="6">
        <v>76</v>
      </c>
      <c r="P118" s="2">
        <f t="shared" si="28"/>
        <v>1077</v>
      </c>
      <c r="Q118" s="63">
        <f t="shared" si="29"/>
        <v>89.75</v>
      </c>
    </row>
    <row r="119" spans="1:17" x14ac:dyDescent="0.3">
      <c r="A119" s="71"/>
      <c r="B119" s="91"/>
      <c r="C119" s="2" t="s">
        <v>48</v>
      </c>
      <c r="D119" s="2">
        <f>SUM(D110:D118)</f>
        <v>694</v>
      </c>
      <c r="E119" s="2">
        <f t="shared" ref="E119:O119" si="30">SUM(E110:E118)</f>
        <v>656</v>
      </c>
      <c r="F119" s="2">
        <f t="shared" si="30"/>
        <v>736</v>
      </c>
      <c r="G119" s="2">
        <f t="shared" si="30"/>
        <v>727</v>
      </c>
      <c r="H119" s="2">
        <f t="shared" si="30"/>
        <v>756</v>
      </c>
      <c r="I119" s="2">
        <f t="shared" si="30"/>
        <v>681</v>
      </c>
      <c r="J119" s="2">
        <f t="shared" si="30"/>
        <v>706</v>
      </c>
      <c r="K119" s="2">
        <f t="shared" si="30"/>
        <v>663</v>
      </c>
      <c r="L119" s="2">
        <f t="shared" si="30"/>
        <v>678</v>
      </c>
      <c r="M119" s="2">
        <f t="shared" si="30"/>
        <v>649</v>
      </c>
      <c r="N119" s="2">
        <f t="shared" si="30"/>
        <v>686</v>
      </c>
      <c r="O119" s="2">
        <f t="shared" si="30"/>
        <v>663</v>
      </c>
      <c r="P119" s="2">
        <f t="shared" si="28"/>
        <v>8295</v>
      </c>
      <c r="Q119" s="63"/>
    </row>
    <row r="120" spans="1:17" x14ac:dyDescent="0.3">
      <c r="A120" s="72"/>
      <c r="B120" s="92"/>
      <c r="C120" s="2" t="s">
        <v>47</v>
      </c>
      <c r="D120" s="63">
        <f>AVERAGE(D110:D118)</f>
        <v>77.111111111111114</v>
      </c>
      <c r="E120" s="63">
        <f t="shared" ref="E120:O120" si="31">AVERAGE(E110:E118)</f>
        <v>72.888888888888886</v>
      </c>
      <c r="F120" s="63">
        <f t="shared" si="31"/>
        <v>81.777777777777771</v>
      </c>
      <c r="G120" s="63">
        <f t="shared" si="31"/>
        <v>80.777777777777771</v>
      </c>
      <c r="H120" s="63">
        <f t="shared" si="31"/>
        <v>84</v>
      </c>
      <c r="I120" s="63">
        <f t="shared" si="31"/>
        <v>75.666666666666671</v>
      </c>
      <c r="J120" s="63">
        <f t="shared" si="31"/>
        <v>78.444444444444443</v>
      </c>
      <c r="K120" s="63">
        <f t="shared" si="31"/>
        <v>73.666666666666671</v>
      </c>
      <c r="L120" s="63">
        <f t="shared" si="31"/>
        <v>75.333333333333329</v>
      </c>
      <c r="M120" s="63">
        <f t="shared" si="31"/>
        <v>72.111111111111114</v>
      </c>
      <c r="N120" s="63">
        <f t="shared" si="31"/>
        <v>76.222222222222229</v>
      </c>
      <c r="O120" s="63">
        <f t="shared" si="31"/>
        <v>73.666666666666671</v>
      </c>
      <c r="P120" s="2"/>
      <c r="Q120" s="63"/>
    </row>
    <row r="121" spans="1:17" x14ac:dyDescent="0.3">
      <c r="Q121" s="55"/>
    </row>
    <row r="122" spans="1:17" x14ac:dyDescent="0.3">
      <c r="A122" s="3" t="s">
        <v>29</v>
      </c>
      <c r="B122" s="3" t="s">
        <v>35</v>
      </c>
      <c r="C122" s="70" t="s">
        <v>2</v>
      </c>
      <c r="D122" s="84" t="s">
        <v>3</v>
      </c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6"/>
      <c r="P122" s="70" t="s">
        <v>48</v>
      </c>
      <c r="Q122" s="87" t="s">
        <v>47</v>
      </c>
    </row>
    <row r="123" spans="1:17" x14ac:dyDescent="0.3">
      <c r="A123" s="70">
        <v>9</v>
      </c>
      <c r="B123" s="90" t="s">
        <v>57</v>
      </c>
      <c r="C123" s="71"/>
      <c r="D123" s="84" t="s">
        <v>4</v>
      </c>
      <c r="E123" s="85"/>
      <c r="F123" s="85"/>
      <c r="G123" s="86"/>
      <c r="H123" s="84" t="s">
        <v>11</v>
      </c>
      <c r="I123" s="85"/>
      <c r="J123" s="85"/>
      <c r="K123" s="86"/>
      <c r="L123" s="84" t="s">
        <v>12</v>
      </c>
      <c r="M123" s="85"/>
      <c r="N123" s="85"/>
      <c r="O123" s="86"/>
      <c r="P123" s="71"/>
      <c r="Q123" s="88"/>
    </row>
    <row r="124" spans="1:17" x14ac:dyDescent="0.3">
      <c r="A124" s="71"/>
      <c r="B124" s="91"/>
      <c r="C124" s="72"/>
      <c r="D124" s="3" t="s">
        <v>5</v>
      </c>
      <c r="E124" s="3" t="s">
        <v>7</v>
      </c>
      <c r="F124" s="3" t="s">
        <v>8</v>
      </c>
      <c r="G124" s="3" t="s">
        <v>10</v>
      </c>
      <c r="H124" s="3" t="s">
        <v>5</v>
      </c>
      <c r="I124" s="3" t="s">
        <v>7</v>
      </c>
      <c r="J124" s="3" t="s">
        <v>8</v>
      </c>
      <c r="K124" s="3" t="s">
        <v>10</v>
      </c>
      <c r="L124" s="3" t="s">
        <v>5</v>
      </c>
      <c r="M124" s="3" t="s">
        <v>7</v>
      </c>
      <c r="N124" s="3" t="s">
        <v>8</v>
      </c>
      <c r="O124" s="3" t="s">
        <v>10</v>
      </c>
      <c r="P124" s="72"/>
      <c r="Q124" s="89"/>
    </row>
    <row r="125" spans="1:17" ht="15.5" x14ac:dyDescent="0.3">
      <c r="A125" s="71"/>
      <c r="B125" s="91"/>
      <c r="C125" s="2" t="s">
        <v>13</v>
      </c>
      <c r="D125" s="6">
        <v>80</v>
      </c>
      <c r="E125" s="6">
        <v>72</v>
      </c>
      <c r="F125" s="6">
        <v>87</v>
      </c>
      <c r="G125" s="6">
        <v>82</v>
      </c>
      <c r="H125" s="6">
        <v>50</v>
      </c>
      <c r="I125" s="6">
        <v>76</v>
      </c>
      <c r="J125" s="6">
        <v>81</v>
      </c>
      <c r="K125" s="6">
        <v>72</v>
      </c>
      <c r="L125" s="6">
        <v>77</v>
      </c>
      <c r="M125" s="6">
        <v>75</v>
      </c>
      <c r="N125" s="6">
        <v>68</v>
      </c>
      <c r="O125" s="6">
        <v>81</v>
      </c>
      <c r="P125" s="2">
        <f>SUM(D125:O125)</f>
        <v>901</v>
      </c>
      <c r="Q125" s="63">
        <f>AVERAGE(D125:O125)</f>
        <v>75.083333333333329</v>
      </c>
    </row>
    <row r="126" spans="1:17" x14ac:dyDescent="0.3">
      <c r="A126" s="71"/>
      <c r="B126" s="91"/>
      <c r="C126" s="2" t="s">
        <v>14</v>
      </c>
      <c r="D126" s="54">
        <v>72</v>
      </c>
      <c r="E126" s="54">
        <v>73</v>
      </c>
      <c r="F126" s="54">
        <v>70</v>
      </c>
      <c r="G126" s="54">
        <v>71</v>
      </c>
      <c r="H126" s="54">
        <v>72</v>
      </c>
      <c r="I126" s="54">
        <v>76</v>
      </c>
      <c r="J126" s="54">
        <v>77</v>
      </c>
      <c r="K126" s="54">
        <v>74</v>
      </c>
      <c r="L126" s="54">
        <v>73</v>
      </c>
      <c r="M126" s="54">
        <v>75</v>
      </c>
      <c r="N126" s="54">
        <v>70</v>
      </c>
      <c r="O126" s="54">
        <v>74</v>
      </c>
      <c r="P126" s="2">
        <f t="shared" ref="P126:P134" si="32">SUM(D126:O126)</f>
        <v>877</v>
      </c>
      <c r="Q126" s="63">
        <f t="shared" ref="Q126:Q133" si="33">AVERAGE(D126:O126)</f>
        <v>73.083333333333329</v>
      </c>
    </row>
    <row r="127" spans="1:17" x14ac:dyDescent="0.3">
      <c r="A127" s="71"/>
      <c r="B127" s="91"/>
      <c r="C127" s="2" t="s">
        <v>15</v>
      </c>
      <c r="D127" s="54">
        <v>74</v>
      </c>
      <c r="E127" s="54">
        <v>75</v>
      </c>
      <c r="F127" s="54">
        <v>73</v>
      </c>
      <c r="G127" s="54">
        <v>76</v>
      </c>
      <c r="H127" s="54">
        <v>71</v>
      </c>
      <c r="I127" s="54">
        <v>70</v>
      </c>
      <c r="J127" s="54">
        <v>74</v>
      </c>
      <c r="K127" s="54">
        <v>76</v>
      </c>
      <c r="L127" s="54">
        <v>78</v>
      </c>
      <c r="M127" s="54">
        <v>80</v>
      </c>
      <c r="N127" s="54">
        <v>79</v>
      </c>
      <c r="O127" s="54">
        <v>68</v>
      </c>
      <c r="P127" s="2">
        <f t="shared" si="32"/>
        <v>894</v>
      </c>
      <c r="Q127" s="63">
        <f t="shared" si="33"/>
        <v>74.5</v>
      </c>
    </row>
    <row r="128" spans="1:17" ht="15.5" x14ac:dyDescent="0.3">
      <c r="A128" s="71"/>
      <c r="B128" s="91"/>
      <c r="C128" s="2" t="s">
        <v>16</v>
      </c>
      <c r="D128" s="6">
        <v>75</v>
      </c>
      <c r="E128" s="6">
        <v>71</v>
      </c>
      <c r="F128" s="6">
        <v>72</v>
      </c>
      <c r="G128" s="6">
        <v>73</v>
      </c>
      <c r="H128" s="6">
        <v>108</v>
      </c>
      <c r="I128" s="6">
        <v>70</v>
      </c>
      <c r="J128" s="6">
        <v>75</v>
      </c>
      <c r="K128" s="6">
        <v>78</v>
      </c>
      <c r="L128" s="6">
        <v>59</v>
      </c>
      <c r="M128" s="6">
        <v>57</v>
      </c>
      <c r="N128" s="6">
        <v>76</v>
      </c>
      <c r="O128" s="6">
        <v>78</v>
      </c>
      <c r="P128" s="2">
        <f t="shared" si="32"/>
        <v>892</v>
      </c>
      <c r="Q128" s="63">
        <f t="shared" si="33"/>
        <v>74.333333333333329</v>
      </c>
    </row>
    <row r="129" spans="1:17" ht="15.5" x14ac:dyDescent="0.3">
      <c r="A129" s="71"/>
      <c r="B129" s="91"/>
      <c r="C129" s="2" t="s">
        <v>17</v>
      </c>
      <c r="D129" s="6">
        <v>84</v>
      </c>
      <c r="E129" s="6">
        <v>72</v>
      </c>
      <c r="F129" s="6">
        <v>71</v>
      </c>
      <c r="G129" s="6">
        <v>76</v>
      </c>
      <c r="H129" s="6">
        <v>67</v>
      </c>
      <c r="I129" s="6">
        <v>66</v>
      </c>
      <c r="J129" s="6">
        <v>76</v>
      </c>
      <c r="K129" s="6">
        <v>59</v>
      </c>
      <c r="L129" s="6">
        <v>55</v>
      </c>
      <c r="M129" s="6">
        <v>56</v>
      </c>
      <c r="N129" s="6">
        <v>58</v>
      </c>
      <c r="O129" s="6">
        <v>70</v>
      </c>
      <c r="P129" s="2">
        <f t="shared" si="32"/>
        <v>810</v>
      </c>
      <c r="Q129" s="63">
        <f t="shared" si="33"/>
        <v>67.5</v>
      </c>
    </row>
    <row r="130" spans="1:17" ht="15.5" x14ac:dyDescent="0.3">
      <c r="A130" s="71"/>
      <c r="B130" s="91"/>
      <c r="C130" s="2" t="s">
        <v>18</v>
      </c>
      <c r="D130" s="6">
        <v>69</v>
      </c>
      <c r="E130" s="6">
        <v>66</v>
      </c>
      <c r="F130" s="6">
        <v>68</v>
      </c>
      <c r="G130" s="6">
        <v>68</v>
      </c>
      <c r="H130" s="6">
        <v>91</v>
      </c>
      <c r="I130" s="6">
        <v>70</v>
      </c>
      <c r="J130" s="6">
        <v>69</v>
      </c>
      <c r="K130" s="6">
        <v>71</v>
      </c>
      <c r="L130" s="6">
        <v>52</v>
      </c>
      <c r="M130" s="6">
        <v>56</v>
      </c>
      <c r="N130" s="6">
        <v>56</v>
      </c>
      <c r="O130" s="6">
        <v>59</v>
      </c>
      <c r="P130" s="2">
        <f t="shared" si="32"/>
        <v>795</v>
      </c>
      <c r="Q130" s="63">
        <f t="shared" si="33"/>
        <v>66.25</v>
      </c>
    </row>
    <row r="131" spans="1:17" ht="15.5" x14ac:dyDescent="0.3">
      <c r="A131" s="71"/>
      <c r="B131" s="91"/>
      <c r="C131" s="2" t="s">
        <v>19</v>
      </c>
      <c r="D131" s="6">
        <v>112</v>
      </c>
      <c r="E131" s="6">
        <v>113</v>
      </c>
      <c r="F131" s="6">
        <v>98</v>
      </c>
      <c r="G131" s="6">
        <v>89</v>
      </c>
      <c r="H131" s="6">
        <v>80</v>
      </c>
      <c r="I131" s="6">
        <v>96</v>
      </c>
      <c r="J131" s="6">
        <v>112</v>
      </c>
      <c r="K131" s="6">
        <v>111</v>
      </c>
      <c r="L131" s="6">
        <v>101</v>
      </c>
      <c r="M131" s="6">
        <v>107</v>
      </c>
      <c r="N131" s="6">
        <v>95</v>
      </c>
      <c r="O131" s="6">
        <v>86</v>
      </c>
      <c r="P131" s="2">
        <f t="shared" si="32"/>
        <v>1200</v>
      </c>
      <c r="Q131" s="63">
        <f t="shared" si="33"/>
        <v>100</v>
      </c>
    </row>
    <row r="132" spans="1:17" ht="15.5" x14ac:dyDescent="0.3">
      <c r="A132" s="71"/>
      <c r="B132" s="91"/>
      <c r="C132" s="2" t="s">
        <v>20</v>
      </c>
      <c r="D132" s="6">
        <v>130</v>
      </c>
      <c r="E132" s="6">
        <v>126</v>
      </c>
      <c r="F132" s="6">
        <v>110</v>
      </c>
      <c r="G132" s="6">
        <v>98</v>
      </c>
      <c r="H132" s="6">
        <v>90</v>
      </c>
      <c r="I132" s="6">
        <v>80</v>
      </c>
      <c r="J132" s="6">
        <v>95</v>
      </c>
      <c r="K132" s="6">
        <v>96</v>
      </c>
      <c r="L132" s="6">
        <v>100</v>
      </c>
      <c r="M132" s="6">
        <v>89</v>
      </c>
      <c r="N132" s="6">
        <v>102</v>
      </c>
      <c r="O132" s="6">
        <v>81</v>
      </c>
      <c r="P132" s="2">
        <f t="shared" si="32"/>
        <v>1197</v>
      </c>
      <c r="Q132" s="63">
        <f t="shared" si="33"/>
        <v>99.75</v>
      </c>
    </row>
    <row r="133" spans="1:17" ht="15.5" x14ac:dyDescent="0.3">
      <c r="A133" s="71"/>
      <c r="B133" s="91"/>
      <c r="C133" s="2" t="s">
        <v>21</v>
      </c>
      <c r="D133" s="6">
        <v>70</v>
      </c>
      <c r="E133" s="6">
        <v>95</v>
      </c>
      <c r="F133" s="6">
        <v>118</v>
      </c>
      <c r="G133" s="6">
        <v>106</v>
      </c>
      <c r="H133" s="6">
        <v>110</v>
      </c>
      <c r="I133" s="6">
        <v>74</v>
      </c>
      <c r="J133" s="6">
        <v>69</v>
      </c>
      <c r="K133" s="6">
        <v>75</v>
      </c>
      <c r="L133" s="6">
        <v>109</v>
      </c>
      <c r="M133" s="6">
        <v>96</v>
      </c>
      <c r="N133" s="6">
        <v>93</v>
      </c>
      <c r="O133" s="6">
        <v>85</v>
      </c>
      <c r="P133" s="2">
        <f t="shared" si="32"/>
        <v>1100</v>
      </c>
      <c r="Q133" s="63">
        <f t="shared" si="33"/>
        <v>91.666666666666671</v>
      </c>
    </row>
    <row r="134" spans="1:17" x14ac:dyDescent="0.3">
      <c r="A134" s="71"/>
      <c r="B134" s="91"/>
      <c r="C134" s="2" t="s">
        <v>48</v>
      </c>
      <c r="D134" s="2">
        <f>SUM(D125:D133)</f>
        <v>766</v>
      </c>
      <c r="E134" s="2">
        <f t="shared" ref="E134:O134" si="34">SUM(E125:E133)</f>
        <v>763</v>
      </c>
      <c r="F134" s="2">
        <f t="shared" si="34"/>
        <v>767</v>
      </c>
      <c r="G134" s="2">
        <f t="shared" si="34"/>
        <v>739</v>
      </c>
      <c r="H134" s="2">
        <f t="shared" si="34"/>
        <v>739</v>
      </c>
      <c r="I134" s="2">
        <f t="shared" si="34"/>
        <v>678</v>
      </c>
      <c r="J134" s="2">
        <f t="shared" si="34"/>
        <v>728</v>
      </c>
      <c r="K134" s="2">
        <f t="shared" si="34"/>
        <v>712</v>
      </c>
      <c r="L134" s="2">
        <f t="shared" si="34"/>
        <v>704</v>
      </c>
      <c r="M134" s="2">
        <f t="shared" si="34"/>
        <v>691</v>
      </c>
      <c r="N134" s="2">
        <f t="shared" si="34"/>
        <v>697</v>
      </c>
      <c r="O134" s="2">
        <f t="shared" si="34"/>
        <v>682</v>
      </c>
      <c r="P134" s="2">
        <f t="shared" si="32"/>
        <v>8666</v>
      </c>
      <c r="Q134" s="41"/>
    </row>
    <row r="135" spans="1:17" x14ac:dyDescent="0.3">
      <c r="A135" s="72"/>
      <c r="B135" s="92"/>
      <c r="C135" s="2" t="s">
        <v>47</v>
      </c>
      <c r="D135" s="63">
        <f>AVERAGE(D125:D133)</f>
        <v>85.111111111111114</v>
      </c>
      <c r="E135" s="63">
        <f t="shared" ref="E135:O135" si="35">AVERAGE(E125:E133)</f>
        <v>84.777777777777771</v>
      </c>
      <c r="F135" s="63">
        <f t="shared" si="35"/>
        <v>85.222222222222229</v>
      </c>
      <c r="G135" s="63">
        <f t="shared" si="35"/>
        <v>82.111111111111114</v>
      </c>
      <c r="H135" s="63">
        <f t="shared" si="35"/>
        <v>82.111111111111114</v>
      </c>
      <c r="I135" s="63">
        <f t="shared" si="35"/>
        <v>75.333333333333329</v>
      </c>
      <c r="J135" s="63">
        <f t="shared" si="35"/>
        <v>80.888888888888886</v>
      </c>
      <c r="K135" s="63">
        <f t="shared" si="35"/>
        <v>79.111111111111114</v>
      </c>
      <c r="L135" s="63">
        <f t="shared" si="35"/>
        <v>78.222222222222229</v>
      </c>
      <c r="M135" s="63">
        <f t="shared" si="35"/>
        <v>76.777777777777771</v>
      </c>
      <c r="N135" s="63">
        <f t="shared" si="35"/>
        <v>77.444444444444443</v>
      </c>
      <c r="O135" s="63">
        <f t="shared" si="35"/>
        <v>75.777777777777771</v>
      </c>
      <c r="P135" s="2"/>
      <c r="Q135" s="41"/>
    </row>
  </sheetData>
  <mergeCells count="81">
    <mergeCell ref="A3:A15"/>
    <mergeCell ref="B3:B15"/>
    <mergeCell ref="Q2:Q4"/>
    <mergeCell ref="D17:O17"/>
    <mergeCell ref="P17:P19"/>
    <mergeCell ref="Q17:Q19"/>
    <mergeCell ref="A18:A30"/>
    <mergeCell ref="B18:B30"/>
    <mergeCell ref="D18:G18"/>
    <mergeCell ref="P2:P4"/>
    <mergeCell ref="C2:C4"/>
    <mergeCell ref="D2:O2"/>
    <mergeCell ref="D3:G3"/>
    <mergeCell ref="H3:K3"/>
    <mergeCell ref="L3:O3"/>
    <mergeCell ref="C17:C19"/>
    <mergeCell ref="A33:A45"/>
    <mergeCell ref="B33:B45"/>
    <mergeCell ref="D33:G33"/>
    <mergeCell ref="H33:K33"/>
    <mergeCell ref="L33:O33"/>
    <mergeCell ref="A48:A60"/>
    <mergeCell ref="B48:B60"/>
    <mergeCell ref="D48:G48"/>
    <mergeCell ref="H48:K48"/>
    <mergeCell ref="L48:O48"/>
    <mergeCell ref="C32:C34"/>
    <mergeCell ref="C47:C49"/>
    <mergeCell ref="P92:P94"/>
    <mergeCell ref="Q92:Q94"/>
    <mergeCell ref="A93:A105"/>
    <mergeCell ref="A63:A75"/>
    <mergeCell ref="B63:B75"/>
    <mergeCell ref="D63:G63"/>
    <mergeCell ref="H63:K63"/>
    <mergeCell ref="L63:O63"/>
    <mergeCell ref="P77:P79"/>
    <mergeCell ref="Q77:Q79"/>
    <mergeCell ref="A78:A90"/>
    <mergeCell ref="B78:B90"/>
    <mergeCell ref="D78:G78"/>
    <mergeCell ref="H78:K78"/>
    <mergeCell ref="L78:O78"/>
    <mergeCell ref="C77:C79"/>
    <mergeCell ref="B93:B105"/>
    <mergeCell ref="D93:G93"/>
    <mergeCell ref="H93:K93"/>
    <mergeCell ref="L93:O93"/>
    <mergeCell ref="D77:O77"/>
    <mergeCell ref="C92:C94"/>
    <mergeCell ref="D92:O92"/>
    <mergeCell ref="P62:P64"/>
    <mergeCell ref="D122:O122"/>
    <mergeCell ref="P122:P124"/>
    <mergeCell ref="Q122:Q124"/>
    <mergeCell ref="A123:A135"/>
    <mergeCell ref="B123:B135"/>
    <mergeCell ref="D123:G123"/>
    <mergeCell ref="H123:K123"/>
    <mergeCell ref="L123:O123"/>
    <mergeCell ref="C122:C124"/>
    <mergeCell ref="D107:O107"/>
    <mergeCell ref="P107:P109"/>
    <mergeCell ref="Q107:Q109"/>
    <mergeCell ref="A108:A120"/>
    <mergeCell ref="B108:B120"/>
    <mergeCell ref="D108:G108"/>
    <mergeCell ref="H108:K108"/>
    <mergeCell ref="L108:O108"/>
    <mergeCell ref="C107:C109"/>
    <mergeCell ref="C62:C64"/>
    <mergeCell ref="D62:O62"/>
    <mergeCell ref="Q62:Q64"/>
    <mergeCell ref="H18:K18"/>
    <mergeCell ref="L18:O18"/>
    <mergeCell ref="D32:O32"/>
    <mergeCell ref="P32:P34"/>
    <mergeCell ref="Q32:Q34"/>
    <mergeCell ref="D47:O47"/>
    <mergeCell ref="P47:P49"/>
    <mergeCell ref="Q47:Q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2479-EEC1-4F9B-ACC6-7844B8EAFF07}">
  <dimension ref="A2:Q144"/>
  <sheetViews>
    <sheetView topLeftCell="A59" zoomScale="46" zoomScaleNormal="66" workbookViewId="0">
      <selection activeCell="AP145" sqref="S3:AP145"/>
    </sheetView>
  </sheetViews>
  <sheetFormatPr defaultRowHeight="14" x14ac:dyDescent="0.3"/>
  <cols>
    <col min="1" max="1" width="8.7265625" style="17"/>
    <col min="2" max="2" width="17.6328125" style="17" customWidth="1"/>
    <col min="3" max="3" width="10.1796875" style="17" customWidth="1"/>
    <col min="4" max="4" width="9.1796875" style="17" customWidth="1"/>
    <col min="5" max="6" width="12.26953125" style="17" bestFit="1" customWidth="1"/>
    <col min="7" max="8" width="14.453125" style="17" bestFit="1" customWidth="1"/>
    <col min="9" max="9" width="14" style="17" bestFit="1" customWidth="1"/>
    <col min="10" max="12" width="14.453125" style="17" bestFit="1" customWidth="1"/>
    <col min="13" max="15" width="14.36328125" style="17" bestFit="1" customWidth="1"/>
    <col min="16" max="16" width="9.26953125" style="17" customWidth="1"/>
    <col min="17" max="17" width="11" style="17" customWidth="1"/>
    <col min="18" max="18" width="8.7265625" style="17"/>
    <col min="19" max="19" width="12.1796875" style="17" customWidth="1"/>
    <col min="20" max="20" width="15.7265625" style="17" customWidth="1"/>
    <col min="21" max="21" width="8.7265625" style="17"/>
    <col min="22" max="22" width="10.54296875" style="17" customWidth="1"/>
    <col min="23" max="25" width="8.81640625" style="17" bestFit="1" customWidth="1"/>
    <col min="26" max="26" width="9.453125" style="17" bestFit="1" customWidth="1"/>
    <col min="27" max="27" width="8.90625" style="17" bestFit="1" customWidth="1"/>
    <col min="28" max="28" width="8.7265625" style="17"/>
    <col min="29" max="29" width="11.36328125" style="17" customWidth="1"/>
    <col min="30" max="30" width="8.81640625" style="17" bestFit="1" customWidth="1"/>
    <col min="31" max="31" width="9.54296875" style="17" customWidth="1"/>
    <col min="32" max="32" width="8.6328125" style="17" customWidth="1"/>
    <col min="33" max="33" width="9.08984375" style="17" customWidth="1"/>
    <col min="34" max="34" width="8.7265625" style="17"/>
    <col min="35" max="36" width="8.81640625" style="17" bestFit="1" customWidth="1"/>
    <col min="37" max="37" width="22" style="17" customWidth="1"/>
    <col min="38" max="38" width="8.7265625" style="17"/>
    <col min="39" max="39" width="10.90625" style="17" customWidth="1"/>
    <col min="40" max="40" width="10.453125" style="17" customWidth="1"/>
    <col min="41" max="41" width="8.7265625" style="17"/>
    <col min="42" max="42" width="13.36328125" style="17" customWidth="1"/>
    <col min="43" max="16384" width="8.7265625" style="17"/>
  </cols>
  <sheetData>
    <row r="2" spans="1:17" ht="16.5" x14ac:dyDescent="0.35">
      <c r="A2" s="96" t="s">
        <v>34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19"/>
    </row>
    <row r="3" spans="1:17" x14ac:dyDescent="0.3">
      <c r="A3" s="3" t="s">
        <v>29</v>
      </c>
      <c r="B3" s="3" t="s">
        <v>35</v>
      </c>
      <c r="C3" s="73" t="s">
        <v>2</v>
      </c>
      <c r="D3" s="75" t="s">
        <v>61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29"/>
      <c r="Q3" s="70" t="s">
        <v>47</v>
      </c>
    </row>
    <row r="4" spans="1:17" ht="14.5" customHeight="1" x14ac:dyDescent="0.3">
      <c r="A4" s="70">
        <v>1</v>
      </c>
      <c r="B4" s="90" t="s">
        <v>36</v>
      </c>
      <c r="C4" s="73"/>
      <c r="D4" s="75" t="s">
        <v>4</v>
      </c>
      <c r="E4" s="75"/>
      <c r="F4" s="75"/>
      <c r="G4" s="75"/>
      <c r="H4" s="75" t="s">
        <v>11</v>
      </c>
      <c r="I4" s="75"/>
      <c r="J4" s="75"/>
      <c r="K4" s="75"/>
      <c r="L4" s="75" t="s">
        <v>12</v>
      </c>
      <c r="M4" s="75"/>
      <c r="N4" s="75"/>
      <c r="O4" s="75"/>
      <c r="P4" s="30" t="s">
        <v>48</v>
      </c>
      <c r="Q4" s="71"/>
    </row>
    <row r="5" spans="1:17" x14ac:dyDescent="0.3">
      <c r="A5" s="71"/>
      <c r="B5" s="91"/>
      <c r="C5" s="73"/>
      <c r="D5" s="3" t="s">
        <v>5</v>
      </c>
      <c r="E5" s="3" t="s">
        <v>7</v>
      </c>
      <c r="F5" s="3" t="s">
        <v>8</v>
      </c>
      <c r="G5" s="3" t="s">
        <v>10</v>
      </c>
      <c r="H5" s="3" t="s">
        <v>5</v>
      </c>
      <c r="I5" s="3" t="s">
        <v>7</v>
      </c>
      <c r="J5" s="3" t="s">
        <v>8</v>
      </c>
      <c r="K5" s="3" t="s">
        <v>10</v>
      </c>
      <c r="L5" s="3" t="s">
        <v>5</v>
      </c>
      <c r="M5" s="3" t="s">
        <v>7</v>
      </c>
      <c r="N5" s="3" t="s">
        <v>8</v>
      </c>
      <c r="O5" s="3" t="s">
        <v>10</v>
      </c>
      <c r="P5" s="27"/>
      <c r="Q5" s="72"/>
    </row>
    <row r="6" spans="1:17" ht="15.5" x14ac:dyDescent="0.3">
      <c r="A6" s="71"/>
      <c r="B6" s="91"/>
      <c r="C6" s="2" t="s">
        <v>13</v>
      </c>
      <c r="D6" s="42">
        <v>29</v>
      </c>
      <c r="E6" s="42">
        <v>26</v>
      </c>
      <c r="F6" s="42">
        <v>27</v>
      </c>
      <c r="G6" s="42">
        <v>25</v>
      </c>
      <c r="H6" s="42">
        <v>25</v>
      </c>
      <c r="I6" s="42">
        <v>27</v>
      </c>
      <c r="J6" s="42">
        <v>25</v>
      </c>
      <c r="K6" s="42">
        <v>26</v>
      </c>
      <c r="L6" s="42">
        <v>32</v>
      </c>
      <c r="M6" s="42">
        <v>23</v>
      </c>
      <c r="N6" s="42">
        <v>27</v>
      </c>
      <c r="O6" s="42">
        <v>26</v>
      </c>
      <c r="P6" s="42">
        <f>SUM(D6:O6)</f>
        <v>318</v>
      </c>
      <c r="Q6" s="63">
        <f t="shared" ref="Q6:Q14" si="0">AVERAGE(D6:O6)</f>
        <v>26.5</v>
      </c>
    </row>
    <row r="7" spans="1:17" ht="15.5" x14ac:dyDescent="0.3">
      <c r="A7" s="71"/>
      <c r="B7" s="91"/>
      <c r="C7" s="2" t="s">
        <v>14</v>
      </c>
      <c r="D7" s="43">
        <v>26</v>
      </c>
      <c r="E7" s="43">
        <v>27</v>
      </c>
      <c r="F7" s="43">
        <v>28</v>
      </c>
      <c r="G7" s="43">
        <v>25</v>
      </c>
      <c r="H7" s="43">
        <v>26</v>
      </c>
      <c r="I7" s="43">
        <v>27</v>
      </c>
      <c r="J7" s="43">
        <v>26</v>
      </c>
      <c r="K7" s="43">
        <v>26</v>
      </c>
      <c r="L7" s="43">
        <v>27</v>
      </c>
      <c r="M7" s="43">
        <v>26</v>
      </c>
      <c r="N7" s="43">
        <v>25</v>
      </c>
      <c r="O7" s="43">
        <v>28</v>
      </c>
      <c r="P7" s="42">
        <f t="shared" ref="P7:P15" si="1">SUM(D7:O7)</f>
        <v>317</v>
      </c>
      <c r="Q7" s="63">
        <f t="shared" si="0"/>
        <v>26.416666666666668</v>
      </c>
    </row>
    <row r="8" spans="1:17" ht="15.5" x14ac:dyDescent="0.3">
      <c r="A8" s="71"/>
      <c r="B8" s="91"/>
      <c r="C8" s="2" t="s">
        <v>15</v>
      </c>
      <c r="D8" s="43">
        <v>27</v>
      </c>
      <c r="E8" s="43">
        <v>28</v>
      </c>
      <c r="F8" s="43">
        <v>26</v>
      </c>
      <c r="G8" s="43">
        <v>26</v>
      </c>
      <c r="H8" s="43">
        <v>25</v>
      </c>
      <c r="I8" s="43">
        <v>24</v>
      </c>
      <c r="J8" s="43">
        <v>25</v>
      </c>
      <c r="K8" s="43">
        <v>26</v>
      </c>
      <c r="L8" s="43">
        <v>27</v>
      </c>
      <c r="M8" s="43">
        <v>25</v>
      </c>
      <c r="N8" s="43">
        <v>24</v>
      </c>
      <c r="O8" s="43">
        <v>26</v>
      </c>
      <c r="P8" s="42">
        <f t="shared" si="1"/>
        <v>309</v>
      </c>
      <c r="Q8" s="63">
        <f t="shared" si="0"/>
        <v>25.75</v>
      </c>
    </row>
    <row r="9" spans="1:17" ht="15.5" x14ac:dyDescent="0.3">
      <c r="A9" s="71"/>
      <c r="B9" s="91"/>
      <c r="C9" s="2" t="s">
        <v>16</v>
      </c>
      <c r="D9" s="42">
        <v>28</v>
      </c>
      <c r="E9" s="42">
        <v>29</v>
      </c>
      <c r="F9" s="42">
        <v>26</v>
      </c>
      <c r="G9" s="42">
        <v>27</v>
      </c>
      <c r="H9" s="42">
        <v>25.8</v>
      </c>
      <c r="I9" s="42">
        <v>27</v>
      </c>
      <c r="J9" s="42">
        <v>25.9</v>
      </c>
      <c r="K9" s="42">
        <v>27</v>
      </c>
      <c r="L9" s="42">
        <v>30.8</v>
      </c>
      <c r="M9" s="42">
        <v>29</v>
      </c>
      <c r="N9" s="42">
        <v>26.7</v>
      </c>
      <c r="O9" s="42">
        <v>28</v>
      </c>
      <c r="P9" s="42">
        <f t="shared" si="1"/>
        <v>330.2</v>
      </c>
      <c r="Q9" s="63">
        <f t="shared" si="0"/>
        <v>27.516666666666666</v>
      </c>
    </row>
    <row r="10" spans="1:17" ht="15.5" x14ac:dyDescent="0.3">
      <c r="A10" s="71"/>
      <c r="B10" s="91"/>
      <c r="C10" s="2" t="s">
        <v>17</v>
      </c>
      <c r="D10" s="42">
        <v>31</v>
      </c>
      <c r="E10" s="42">
        <v>29</v>
      </c>
      <c r="F10" s="42">
        <v>31.5</v>
      </c>
      <c r="G10" s="42">
        <v>26.9</v>
      </c>
      <c r="H10" s="42">
        <v>30</v>
      </c>
      <c r="I10" s="42">
        <v>32</v>
      </c>
      <c r="J10" s="42">
        <v>29.5</v>
      </c>
      <c r="K10" s="42">
        <v>28.8</v>
      </c>
      <c r="L10" s="42">
        <v>31.5</v>
      </c>
      <c r="M10" s="42">
        <v>28.8</v>
      </c>
      <c r="N10" s="42">
        <v>33</v>
      </c>
      <c r="O10" s="42">
        <v>31</v>
      </c>
      <c r="P10" s="42">
        <f t="shared" si="1"/>
        <v>363.00000000000006</v>
      </c>
      <c r="Q10" s="63">
        <f t="shared" si="0"/>
        <v>30.250000000000004</v>
      </c>
    </row>
    <row r="11" spans="1:17" ht="15.5" x14ac:dyDescent="0.3">
      <c r="A11" s="71"/>
      <c r="B11" s="91"/>
      <c r="C11" s="2" t="s">
        <v>18</v>
      </c>
      <c r="D11" s="42">
        <v>29.4</v>
      </c>
      <c r="E11" s="42">
        <v>28</v>
      </c>
      <c r="F11" s="42">
        <v>27</v>
      </c>
      <c r="G11" s="42">
        <v>25.8</v>
      </c>
      <c r="H11" s="42">
        <v>28</v>
      </c>
      <c r="I11" s="42">
        <v>26.6</v>
      </c>
      <c r="J11" s="42">
        <v>27.9</v>
      </c>
      <c r="K11" s="42">
        <v>29</v>
      </c>
      <c r="L11" s="42">
        <v>31.8</v>
      </c>
      <c r="M11" s="42">
        <v>29</v>
      </c>
      <c r="N11" s="42">
        <v>32.700000000000003</v>
      </c>
      <c r="O11" s="42">
        <v>28.5</v>
      </c>
      <c r="P11" s="42">
        <f t="shared" si="1"/>
        <v>343.7</v>
      </c>
      <c r="Q11" s="63">
        <f t="shared" si="0"/>
        <v>28.641666666666666</v>
      </c>
    </row>
    <row r="12" spans="1:17" ht="15.5" x14ac:dyDescent="0.3">
      <c r="A12" s="71"/>
      <c r="B12" s="91"/>
      <c r="C12" s="2" t="s">
        <v>19</v>
      </c>
      <c r="D12" s="42">
        <v>30</v>
      </c>
      <c r="E12" s="42">
        <v>29</v>
      </c>
      <c r="F12" s="42">
        <v>27</v>
      </c>
      <c r="G12" s="42">
        <v>28</v>
      </c>
      <c r="H12" s="42">
        <v>27</v>
      </c>
      <c r="I12" s="42">
        <v>32.200000000000003</v>
      </c>
      <c r="J12" s="42">
        <v>31</v>
      </c>
      <c r="K12" s="42">
        <v>32</v>
      </c>
      <c r="L12" s="42">
        <v>28.7</v>
      </c>
      <c r="M12" s="42">
        <v>30</v>
      </c>
      <c r="N12" s="42">
        <v>29</v>
      </c>
      <c r="O12" s="42">
        <v>25</v>
      </c>
      <c r="P12" s="42">
        <f t="shared" si="1"/>
        <v>348.9</v>
      </c>
      <c r="Q12" s="63">
        <f t="shared" si="0"/>
        <v>29.074999999999999</v>
      </c>
    </row>
    <row r="13" spans="1:17" ht="15.5" x14ac:dyDescent="0.3">
      <c r="A13" s="71"/>
      <c r="B13" s="91"/>
      <c r="C13" s="2" t="s">
        <v>20</v>
      </c>
      <c r="D13" s="42">
        <v>31.6</v>
      </c>
      <c r="E13" s="42">
        <v>31</v>
      </c>
      <c r="F13" s="42">
        <v>29</v>
      </c>
      <c r="G13" s="42">
        <v>32</v>
      </c>
      <c r="H13" s="42">
        <v>35</v>
      </c>
      <c r="I13" s="42">
        <v>29.7</v>
      </c>
      <c r="J13" s="42">
        <v>30</v>
      </c>
      <c r="K13" s="42">
        <v>31</v>
      </c>
      <c r="L13" s="42">
        <v>31.6</v>
      </c>
      <c r="M13" s="42">
        <v>32</v>
      </c>
      <c r="N13" s="42">
        <v>31</v>
      </c>
      <c r="O13" s="42">
        <v>29.5</v>
      </c>
      <c r="P13" s="42">
        <f t="shared" si="1"/>
        <v>373.4</v>
      </c>
      <c r="Q13" s="63">
        <f t="shared" si="0"/>
        <v>31.116666666666664</v>
      </c>
    </row>
    <row r="14" spans="1:17" ht="15.5" x14ac:dyDescent="0.3">
      <c r="A14" s="71"/>
      <c r="B14" s="91"/>
      <c r="C14" s="2" t="s">
        <v>21</v>
      </c>
      <c r="D14" s="42">
        <v>27.5</v>
      </c>
      <c r="E14" s="42">
        <v>28.5</v>
      </c>
      <c r="F14" s="42">
        <v>31.3</v>
      </c>
      <c r="G14" s="42">
        <v>26.5</v>
      </c>
      <c r="H14" s="42">
        <v>31</v>
      </c>
      <c r="I14" s="42">
        <v>32</v>
      </c>
      <c r="J14" s="42">
        <v>28</v>
      </c>
      <c r="K14" s="42">
        <v>30</v>
      </c>
      <c r="L14" s="42">
        <v>28.4</v>
      </c>
      <c r="M14" s="42">
        <v>29</v>
      </c>
      <c r="N14" s="42">
        <v>28</v>
      </c>
      <c r="O14" s="42">
        <v>32</v>
      </c>
      <c r="P14" s="42">
        <f t="shared" si="1"/>
        <v>352.2</v>
      </c>
      <c r="Q14" s="63">
        <f t="shared" si="0"/>
        <v>29.349999999999998</v>
      </c>
    </row>
    <row r="15" spans="1:17" ht="15.5" x14ac:dyDescent="0.3">
      <c r="A15" s="71"/>
      <c r="B15" s="91"/>
      <c r="C15" s="2" t="s">
        <v>48</v>
      </c>
      <c r="D15" s="42">
        <f>SUM(D6:D14)</f>
        <v>259.5</v>
      </c>
      <c r="E15" s="42">
        <f t="shared" ref="E15:O15" si="2">SUM(E6:E14)</f>
        <v>255.5</v>
      </c>
      <c r="F15" s="42">
        <f t="shared" si="2"/>
        <v>252.8</v>
      </c>
      <c r="G15" s="42">
        <f t="shared" si="2"/>
        <v>242.20000000000002</v>
      </c>
      <c r="H15" s="42">
        <f t="shared" si="2"/>
        <v>252.8</v>
      </c>
      <c r="I15" s="42">
        <f t="shared" si="2"/>
        <v>257.5</v>
      </c>
      <c r="J15" s="42">
        <f t="shared" si="2"/>
        <v>248.3</v>
      </c>
      <c r="K15" s="42">
        <f t="shared" si="2"/>
        <v>255.8</v>
      </c>
      <c r="L15" s="42">
        <f t="shared" si="2"/>
        <v>268.8</v>
      </c>
      <c r="M15" s="42">
        <f t="shared" si="2"/>
        <v>251.8</v>
      </c>
      <c r="N15" s="42">
        <f t="shared" si="2"/>
        <v>256.39999999999998</v>
      </c>
      <c r="O15" s="42">
        <f t="shared" si="2"/>
        <v>254</v>
      </c>
      <c r="P15" s="42">
        <f t="shared" si="1"/>
        <v>3055.4</v>
      </c>
      <c r="Q15" s="63"/>
    </row>
    <row r="16" spans="1:17" ht="15.5" x14ac:dyDescent="0.3">
      <c r="A16" s="72"/>
      <c r="B16" s="92"/>
      <c r="C16" s="2" t="s">
        <v>47</v>
      </c>
      <c r="D16" s="35">
        <f>AVERAGE(D6:D14)</f>
        <v>28.833333333333332</v>
      </c>
      <c r="E16" s="35">
        <f t="shared" ref="E16:O16" si="3">AVERAGE(E6:E14)</f>
        <v>28.388888888888889</v>
      </c>
      <c r="F16" s="35">
        <f t="shared" si="3"/>
        <v>28.088888888888889</v>
      </c>
      <c r="G16" s="35">
        <f t="shared" si="3"/>
        <v>26.911111111111111</v>
      </c>
      <c r="H16" s="35">
        <f t="shared" si="3"/>
        <v>28.088888888888889</v>
      </c>
      <c r="I16" s="35">
        <f t="shared" si="3"/>
        <v>28.611111111111111</v>
      </c>
      <c r="J16" s="35">
        <f t="shared" si="3"/>
        <v>27.588888888888889</v>
      </c>
      <c r="K16" s="35">
        <f t="shared" si="3"/>
        <v>28.422222222222224</v>
      </c>
      <c r="L16" s="35">
        <f t="shared" si="3"/>
        <v>29.866666666666667</v>
      </c>
      <c r="M16" s="35">
        <f t="shared" si="3"/>
        <v>27.977777777777778</v>
      </c>
      <c r="N16" s="35">
        <f t="shared" si="3"/>
        <v>28.488888888888887</v>
      </c>
      <c r="O16" s="35">
        <f t="shared" si="3"/>
        <v>28.222222222222221</v>
      </c>
      <c r="P16" s="36"/>
      <c r="Q16" s="63"/>
    </row>
    <row r="17" spans="1:17" ht="15.5" x14ac:dyDescent="0.3">
      <c r="A17" s="16"/>
      <c r="B17" s="16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55"/>
    </row>
    <row r="18" spans="1:17" x14ac:dyDescent="0.3"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5"/>
    </row>
    <row r="19" spans="1:17" ht="14.5" customHeight="1" x14ac:dyDescent="0.3">
      <c r="A19" s="3" t="s">
        <v>29</v>
      </c>
      <c r="B19" s="3" t="s">
        <v>35</v>
      </c>
      <c r="C19" s="70" t="s">
        <v>2</v>
      </c>
      <c r="D19" s="93" t="s">
        <v>3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5"/>
      <c r="P19" s="45"/>
      <c r="Q19" s="87" t="s">
        <v>47</v>
      </c>
    </row>
    <row r="20" spans="1:17" ht="16" customHeight="1" x14ac:dyDescent="0.3">
      <c r="A20" s="70">
        <v>2</v>
      </c>
      <c r="B20" s="90" t="s">
        <v>37</v>
      </c>
      <c r="C20" s="71"/>
      <c r="D20" s="93" t="s">
        <v>4</v>
      </c>
      <c r="E20" s="94"/>
      <c r="F20" s="94"/>
      <c r="G20" s="95"/>
      <c r="H20" s="93" t="s">
        <v>11</v>
      </c>
      <c r="I20" s="94"/>
      <c r="J20" s="94"/>
      <c r="K20" s="95"/>
      <c r="L20" s="93" t="s">
        <v>12</v>
      </c>
      <c r="M20" s="94"/>
      <c r="N20" s="94"/>
      <c r="O20" s="95"/>
      <c r="P20" s="46" t="s">
        <v>48</v>
      </c>
      <c r="Q20" s="88"/>
    </row>
    <row r="21" spans="1:17" ht="18" customHeight="1" x14ac:dyDescent="0.3">
      <c r="A21" s="71"/>
      <c r="B21" s="91"/>
      <c r="C21" s="72"/>
      <c r="D21" s="47" t="s">
        <v>5</v>
      </c>
      <c r="E21" s="47" t="s">
        <v>7</v>
      </c>
      <c r="F21" s="47" t="s">
        <v>8</v>
      </c>
      <c r="G21" s="47" t="s">
        <v>10</v>
      </c>
      <c r="H21" s="47" t="s">
        <v>5</v>
      </c>
      <c r="I21" s="47" t="s">
        <v>7</v>
      </c>
      <c r="J21" s="47" t="s">
        <v>8</v>
      </c>
      <c r="K21" s="47" t="s">
        <v>10</v>
      </c>
      <c r="L21" s="47" t="s">
        <v>5</v>
      </c>
      <c r="M21" s="47" t="s">
        <v>7</v>
      </c>
      <c r="N21" s="47" t="s">
        <v>8</v>
      </c>
      <c r="O21" s="47" t="s">
        <v>10</v>
      </c>
      <c r="P21" s="48"/>
      <c r="Q21" s="89"/>
    </row>
    <row r="22" spans="1:17" ht="15.5" x14ac:dyDescent="0.3">
      <c r="A22" s="71"/>
      <c r="B22" s="91"/>
      <c r="C22" s="2" t="s">
        <v>13</v>
      </c>
      <c r="D22" s="42">
        <v>40</v>
      </c>
      <c r="E22" s="42">
        <v>39</v>
      </c>
      <c r="F22" s="42">
        <v>41</v>
      </c>
      <c r="G22" s="42">
        <v>38.700000000000003</v>
      </c>
      <c r="H22" s="42">
        <v>36</v>
      </c>
      <c r="I22" s="42">
        <v>35</v>
      </c>
      <c r="J22" s="42">
        <v>39.6</v>
      </c>
      <c r="K22" s="42">
        <v>32</v>
      </c>
      <c r="L22" s="42">
        <v>36</v>
      </c>
      <c r="M22" s="42">
        <v>39</v>
      </c>
      <c r="N22" s="42">
        <v>36</v>
      </c>
      <c r="O22" s="42">
        <v>37</v>
      </c>
      <c r="P22" s="42">
        <f>SUM(D22:O22)</f>
        <v>449.3</v>
      </c>
      <c r="Q22" s="63">
        <f t="shared" ref="Q22:Q30" si="4">AVERAGE(D22:O22)</f>
        <v>37.44166666666667</v>
      </c>
    </row>
    <row r="23" spans="1:17" ht="15.5" x14ac:dyDescent="0.3">
      <c r="A23" s="71"/>
      <c r="B23" s="91"/>
      <c r="C23" s="2" t="s">
        <v>14</v>
      </c>
      <c r="D23" s="43">
        <v>41</v>
      </c>
      <c r="E23" s="43">
        <v>40</v>
      </c>
      <c r="F23" s="43">
        <v>38</v>
      </c>
      <c r="G23" s="43">
        <v>36</v>
      </c>
      <c r="H23" s="43">
        <v>35</v>
      </c>
      <c r="I23" s="43">
        <v>40</v>
      </c>
      <c r="J23" s="43">
        <v>37</v>
      </c>
      <c r="K23" s="43">
        <v>38</v>
      </c>
      <c r="L23" s="43">
        <v>36</v>
      </c>
      <c r="M23" s="43">
        <v>37</v>
      </c>
      <c r="N23" s="43">
        <v>39</v>
      </c>
      <c r="O23" s="43">
        <v>37</v>
      </c>
      <c r="P23" s="42">
        <f t="shared" ref="P23:P31" si="5">SUM(D23:O23)</f>
        <v>454</v>
      </c>
      <c r="Q23" s="63">
        <f t="shared" si="4"/>
        <v>37.833333333333336</v>
      </c>
    </row>
    <row r="24" spans="1:17" ht="15.5" x14ac:dyDescent="0.3">
      <c r="A24" s="71"/>
      <c r="B24" s="91"/>
      <c r="C24" s="2" t="s">
        <v>15</v>
      </c>
      <c r="D24" s="43">
        <v>39</v>
      </c>
      <c r="E24" s="43">
        <v>38</v>
      </c>
      <c r="F24" s="43">
        <v>38</v>
      </c>
      <c r="G24" s="43">
        <v>37</v>
      </c>
      <c r="H24" s="43">
        <v>35</v>
      </c>
      <c r="I24" s="43">
        <v>36</v>
      </c>
      <c r="J24" s="43">
        <v>36</v>
      </c>
      <c r="K24" s="43">
        <v>37</v>
      </c>
      <c r="L24" s="43">
        <v>35</v>
      </c>
      <c r="M24" s="43">
        <v>37</v>
      </c>
      <c r="N24" s="43">
        <v>35</v>
      </c>
      <c r="O24" s="43">
        <v>36</v>
      </c>
      <c r="P24" s="42">
        <f t="shared" si="5"/>
        <v>439</v>
      </c>
      <c r="Q24" s="63">
        <f t="shared" si="4"/>
        <v>36.583333333333336</v>
      </c>
    </row>
    <row r="25" spans="1:17" ht="15.5" x14ac:dyDescent="0.3">
      <c r="A25" s="71"/>
      <c r="B25" s="91"/>
      <c r="C25" s="2" t="s">
        <v>16</v>
      </c>
      <c r="D25" s="42">
        <v>48</v>
      </c>
      <c r="E25" s="42">
        <v>40.5</v>
      </c>
      <c r="F25" s="42">
        <v>52.5</v>
      </c>
      <c r="G25" s="42">
        <v>55</v>
      </c>
      <c r="H25" s="42">
        <v>49</v>
      </c>
      <c r="I25" s="42">
        <v>46.5</v>
      </c>
      <c r="J25" s="42">
        <v>44</v>
      </c>
      <c r="K25" s="42">
        <v>44.5</v>
      </c>
      <c r="L25" s="42">
        <v>50</v>
      </c>
      <c r="M25" s="42">
        <v>45</v>
      </c>
      <c r="N25" s="42">
        <v>45</v>
      </c>
      <c r="O25" s="42">
        <v>40</v>
      </c>
      <c r="P25" s="42">
        <f t="shared" si="5"/>
        <v>560</v>
      </c>
      <c r="Q25" s="63">
        <f t="shared" si="4"/>
        <v>46.666666666666664</v>
      </c>
    </row>
    <row r="26" spans="1:17" ht="15.5" x14ac:dyDescent="0.3">
      <c r="A26" s="71"/>
      <c r="B26" s="91"/>
      <c r="C26" s="2" t="s">
        <v>17</v>
      </c>
      <c r="D26" s="42">
        <v>42</v>
      </c>
      <c r="E26" s="42">
        <v>36</v>
      </c>
      <c r="F26" s="42">
        <v>41.5</v>
      </c>
      <c r="G26" s="42">
        <v>49.5</v>
      </c>
      <c r="H26" s="42">
        <v>44</v>
      </c>
      <c r="I26" s="42">
        <v>45</v>
      </c>
      <c r="J26" s="42">
        <v>50.5</v>
      </c>
      <c r="K26" s="42">
        <v>42.5</v>
      </c>
      <c r="L26" s="42">
        <v>40</v>
      </c>
      <c r="M26" s="42">
        <v>46.5</v>
      </c>
      <c r="N26" s="42">
        <v>39.5</v>
      </c>
      <c r="O26" s="42">
        <v>42</v>
      </c>
      <c r="P26" s="42">
        <f t="shared" si="5"/>
        <v>519</v>
      </c>
      <c r="Q26" s="63">
        <f t="shared" si="4"/>
        <v>43.25</v>
      </c>
    </row>
    <row r="27" spans="1:17" ht="15.5" x14ac:dyDescent="0.3">
      <c r="A27" s="71"/>
      <c r="B27" s="91"/>
      <c r="C27" s="2" t="s">
        <v>18</v>
      </c>
      <c r="D27" s="42">
        <v>41.5</v>
      </c>
      <c r="E27" s="42">
        <v>51</v>
      </c>
      <c r="F27" s="42">
        <v>34</v>
      </c>
      <c r="G27" s="42">
        <v>49</v>
      </c>
      <c r="H27" s="42">
        <v>43</v>
      </c>
      <c r="I27" s="42">
        <v>43</v>
      </c>
      <c r="J27" s="42">
        <v>45</v>
      </c>
      <c r="K27" s="42">
        <v>42.5</v>
      </c>
      <c r="L27" s="42">
        <v>44</v>
      </c>
      <c r="M27" s="42">
        <v>46</v>
      </c>
      <c r="N27" s="42">
        <v>39</v>
      </c>
      <c r="O27" s="42">
        <v>28</v>
      </c>
      <c r="P27" s="42">
        <f t="shared" si="5"/>
        <v>506</v>
      </c>
      <c r="Q27" s="63">
        <f t="shared" si="4"/>
        <v>42.166666666666664</v>
      </c>
    </row>
    <row r="28" spans="1:17" ht="15.5" x14ac:dyDescent="0.3">
      <c r="A28" s="71"/>
      <c r="B28" s="91"/>
      <c r="C28" s="2" t="s">
        <v>19</v>
      </c>
      <c r="D28" s="42">
        <v>49</v>
      </c>
      <c r="E28" s="42">
        <v>52</v>
      </c>
      <c r="F28" s="42">
        <v>48</v>
      </c>
      <c r="G28" s="42">
        <v>55</v>
      </c>
      <c r="H28" s="42">
        <v>43</v>
      </c>
      <c r="I28" s="42">
        <v>46</v>
      </c>
      <c r="J28" s="42">
        <v>44</v>
      </c>
      <c r="K28" s="42">
        <v>42</v>
      </c>
      <c r="L28" s="42">
        <v>41</v>
      </c>
      <c r="M28" s="42">
        <v>44</v>
      </c>
      <c r="N28" s="42">
        <v>46</v>
      </c>
      <c r="O28" s="42">
        <v>50</v>
      </c>
      <c r="P28" s="42">
        <f t="shared" si="5"/>
        <v>560</v>
      </c>
      <c r="Q28" s="63">
        <f t="shared" si="4"/>
        <v>46.666666666666664</v>
      </c>
    </row>
    <row r="29" spans="1:17" ht="15.5" x14ac:dyDescent="0.3">
      <c r="A29" s="71"/>
      <c r="B29" s="91"/>
      <c r="C29" s="2" t="s">
        <v>20</v>
      </c>
      <c r="D29" s="42">
        <v>41</v>
      </c>
      <c r="E29" s="42">
        <v>52</v>
      </c>
      <c r="F29" s="42">
        <v>40</v>
      </c>
      <c r="G29" s="42">
        <v>49</v>
      </c>
      <c r="H29" s="42">
        <v>44</v>
      </c>
      <c r="I29" s="42">
        <v>49</v>
      </c>
      <c r="J29" s="42">
        <v>50</v>
      </c>
      <c r="K29" s="42">
        <v>45</v>
      </c>
      <c r="L29" s="42">
        <v>40</v>
      </c>
      <c r="M29" s="42">
        <v>44.5</v>
      </c>
      <c r="N29" s="42">
        <v>43.5</v>
      </c>
      <c r="O29" s="42">
        <v>43.5</v>
      </c>
      <c r="P29" s="42">
        <f t="shared" si="5"/>
        <v>541.5</v>
      </c>
      <c r="Q29" s="63">
        <f t="shared" si="4"/>
        <v>45.125</v>
      </c>
    </row>
    <row r="30" spans="1:17" ht="15.5" x14ac:dyDescent="0.3">
      <c r="A30" s="71"/>
      <c r="B30" s="91"/>
      <c r="C30" s="2" t="s">
        <v>21</v>
      </c>
      <c r="D30" s="42">
        <v>48</v>
      </c>
      <c r="E30" s="42">
        <v>42</v>
      </c>
      <c r="F30" s="42">
        <v>35</v>
      </c>
      <c r="G30" s="42">
        <v>45</v>
      </c>
      <c r="H30" s="42">
        <v>43</v>
      </c>
      <c r="I30" s="42">
        <v>35</v>
      </c>
      <c r="J30" s="42">
        <v>52</v>
      </c>
      <c r="K30" s="42">
        <v>44</v>
      </c>
      <c r="L30" s="42">
        <v>45</v>
      </c>
      <c r="M30" s="42">
        <v>48</v>
      </c>
      <c r="N30" s="42">
        <v>40</v>
      </c>
      <c r="O30" s="42">
        <v>41.5</v>
      </c>
      <c r="P30" s="42">
        <f t="shared" si="5"/>
        <v>518.5</v>
      </c>
      <c r="Q30" s="63">
        <f t="shared" si="4"/>
        <v>43.208333333333336</v>
      </c>
    </row>
    <row r="31" spans="1:17" ht="15.5" x14ac:dyDescent="0.3">
      <c r="A31" s="71"/>
      <c r="B31" s="91"/>
      <c r="C31" s="2" t="s">
        <v>48</v>
      </c>
      <c r="D31" s="42">
        <f>SUM(D22:D30)</f>
        <v>389.5</v>
      </c>
      <c r="E31" s="42">
        <f t="shared" ref="E31:O31" si="6">SUM(E22:E30)</f>
        <v>390.5</v>
      </c>
      <c r="F31" s="42">
        <f t="shared" si="6"/>
        <v>368</v>
      </c>
      <c r="G31" s="42">
        <f t="shared" si="6"/>
        <v>414.2</v>
      </c>
      <c r="H31" s="42">
        <f t="shared" si="6"/>
        <v>372</v>
      </c>
      <c r="I31" s="42">
        <f t="shared" si="6"/>
        <v>375.5</v>
      </c>
      <c r="J31" s="42">
        <f t="shared" si="6"/>
        <v>398.1</v>
      </c>
      <c r="K31" s="42">
        <f t="shared" si="6"/>
        <v>367.5</v>
      </c>
      <c r="L31" s="42">
        <f t="shared" si="6"/>
        <v>367</v>
      </c>
      <c r="M31" s="42">
        <f t="shared" si="6"/>
        <v>387</v>
      </c>
      <c r="N31" s="42">
        <f t="shared" si="6"/>
        <v>363</v>
      </c>
      <c r="O31" s="42">
        <f t="shared" si="6"/>
        <v>355</v>
      </c>
      <c r="P31" s="42">
        <f t="shared" si="5"/>
        <v>4547.2999999999993</v>
      </c>
      <c r="Q31" s="63"/>
    </row>
    <row r="32" spans="1:17" ht="15.5" x14ac:dyDescent="0.3">
      <c r="A32" s="72"/>
      <c r="B32" s="92"/>
      <c r="C32" s="2" t="s">
        <v>47</v>
      </c>
      <c r="D32" s="35">
        <f>AVERAGE(D22:D30)</f>
        <v>43.277777777777779</v>
      </c>
      <c r="E32" s="35">
        <f t="shared" ref="E32:O32" si="7">AVERAGE(E22:E30)</f>
        <v>43.388888888888886</v>
      </c>
      <c r="F32" s="35">
        <f t="shared" si="7"/>
        <v>40.888888888888886</v>
      </c>
      <c r="G32" s="35">
        <f t="shared" si="7"/>
        <v>46.022222222222219</v>
      </c>
      <c r="H32" s="35">
        <f t="shared" si="7"/>
        <v>41.333333333333336</v>
      </c>
      <c r="I32" s="35">
        <f t="shared" si="7"/>
        <v>41.722222222222221</v>
      </c>
      <c r="J32" s="35">
        <f t="shared" si="7"/>
        <v>44.233333333333334</v>
      </c>
      <c r="K32" s="35">
        <f t="shared" si="7"/>
        <v>40.833333333333336</v>
      </c>
      <c r="L32" s="35">
        <f t="shared" si="7"/>
        <v>40.777777777777779</v>
      </c>
      <c r="M32" s="35">
        <f t="shared" si="7"/>
        <v>43</v>
      </c>
      <c r="N32" s="35">
        <f t="shared" si="7"/>
        <v>40.333333333333336</v>
      </c>
      <c r="O32" s="35">
        <f t="shared" si="7"/>
        <v>39.444444444444443</v>
      </c>
      <c r="P32" s="42"/>
      <c r="Q32" s="63"/>
    </row>
    <row r="33" spans="1:17" ht="15.5" x14ac:dyDescent="0.3">
      <c r="A33" s="16"/>
      <c r="B33" s="16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55"/>
    </row>
    <row r="34" spans="1:17" ht="14.5" customHeight="1" x14ac:dyDescent="0.3"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5"/>
    </row>
    <row r="35" spans="1:17" x14ac:dyDescent="0.3">
      <c r="A35" s="3" t="s">
        <v>29</v>
      </c>
      <c r="B35" s="3" t="s">
        <v>35</v>
      </c>
      <c r="C35" s="70" t="s">
        <v>2</v>
      </c>
      <c r="D35" s="93" t="s">
        <v>3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5"/>
      <c r="P35" s="45"/>
      <c r="Q35" s="87" t="s">
        <v>47</v>
      </c>
    </row>
    <row r="36" spans="1:17" ht="17.5" customHeight="1" x14ac:dyDescent="0.3">
      <c r="A36" s="70">
        <v>3</v>
      </c>
      <c r="B36" s="90" t="s">
        <v>38</v>
      </c>
      <c r="C36" s="71"/>
      <c r="D36" s="93" t="s">
        <v>4</v>
      </c>
      <c r="E36" s="94"/>
      <c r="F36" s="94"/>
      <c r="G36" s="95"/>
      <c r="H36" s="93" t="s">
        <v>11</v>
      </c>
      <c r="I36" s="94"/>
      <c r="J36" s="94"/>
      <c r="K36" s="95"/>
      <c r="L36" s="93" t="s">
        <v>12</v>
      </c>
      <c r="M36" s="94"/>
      <c r="N36" s="94"/>
      <c r="O36" s="95"/>
      <c r="P36" s="46" t="s">
        <v>48</v>
      </c>
      <c r="Q36" s="88"/>
    </row>
    <row r="37" spans="1:17" x14ac:dyDescent="0.3">
      <c r="A37" s="71"/>
      <c r="B37" s="91"/>
      <c r="C37" s="72"/>
      <c r="D37" s="47" t="s">
        <v>5</v>
      </c>
      <c r="E37" s="47" t="s">
        <v>7</v>
      </c>
      <c r="F37" s="47" t="s">
        <v>8</v>
      </c>
      <c r="G37" s="47" t="s">
        <v>10</v>
      </c>
      <c r="H37" s="47" t="s">
        <v>5</v>
      </c>
      <c r="I37" s="47" t="s">
        <v>7</v>
      </c>
      <c r="J37" s="47" t="s">
        <v>8</v>
      </c>
      <c r="K37" s="47" t="s">
        <v>10</v>
      </c>
      <c r="L37" s="47" t="s">
        <v>5</v>
      </c>
      <c r="M37" s="47" t="s">
        <v>7</v>
      </c>
      <c r="N37" s="47" t="s">
        <v>8</v>
      </c>
      <c r="O37" s="47" t="s">
        <v>10</v>
      </c>
      <c r="P37" s="48"/>
      <c r="Q37" s="89"/>
    </row>
    <row r="38" spans="1:17" ht="16" customHeight="1" x14ac:dyDescent="0.3">
      <c r="A38" s="71"/>
      <c r="B38" s="91"/>
      <c r="C38" s="2" t="s">
        <v>13</v>
      </c>
      <c r="D38" s="42">
        <v>53</v>
      </c>
      <c r="E38" s="42">
        <v>56</v>
      </c>
      <c r="F38" s="42">
        <v>50</v>
      </c>
      <c r="G38" s="42">
        <v>51.5</v>
      </c>
      <c r="H38" s="42">
        <v>40</v>
      </c>
      <c r="I38" s="42">
        <v>45</v>
      </c>
      <c r="J38" s="42">
        <v>51</v>
      </c>
      <c r="K38" s="42">
        <v>42</v>
      </c>
      <c r="L38" s="42">
        <v>28</v>
      </c>
      <c r="M38" s="42">
        <v>53</v>
      </c>
      <c r="N38" s="42">
        <v>53.5</v>
      </c>
      <c r="O38" s="42">
        <v>53</v>
      </c>
      <c r="P38" s="42">
        <f>SUM(D38:O38)</f>
        <v>576</v>
      </c>
      <c r="Q38" s="63">
        <f t="shared" ref="Q38:Q46" si="8">AVERAGE(D38:O38)</f>
        <v>48</v>
      </c>
    </row>
    <row r="39" spans="1:17" ht="15.5" x14ac:dyDescent="0.3">
      <c r="A39" s="71"/>
      <c r="B39" s="91"/>
      <c r="C39" s="2" t="s">
        <v>14</v>
      </c>
      <c r="D39" s="43">
        <v>51</v>
      </c>
      <c r="E39" s="43">
        <v>50</v>
      </c>
      <c r="F39" s="43">
        <v>49</v>
      </c>
      <c r="G39" s="43">
        <v>52</v>
      </c>
      <c r="H39" s="43">
        <v>51</v>
      </c>
      <c r="I39" s="43">
        <v>50</v>
      </c>
      <c r="J39" s="43">
        <v>48</v>
      </c>
      <c r="K39" s="43">
        <v>49</v>
      </c>
      <c r="L39" s="43">
        <v>50</v>
      </c>
      <c r="M39" s="43">
        <v>48</v>
      </c>
      <c r="N39" s="43">
        <v>49</v>
      </c>
      <c r="O39" s="43">
        <v>49</v>
      </c>
      <c r="P39" s="42">
        <f t="shared" ref="P39:P47" si="9">SUM(D39:O39)</f>
        <v>596</v>
      </c>
      <c r="Q39" s="63">
        <f t="shared" si="8"/>
        <v>49.666666666666664</v>
      </c>
    </row>
    <row r="40" spans="1:17" ht="15.5" x14ac:dyDescent="0.3">
      <c r="A40" s="71"/>
      <c r="B40" s="91"/>
      <c r="C40" s="2" t="s">
        <v>15</v>
      </c>
      <c r="D40" s="43">
        <v>50</v>
      </c>
      <c r="E40" s="43">
        <v>49</v>
      </c>
      <c r="F40" s="43">
        <v>48</v>
      </c>
      <c r="G40" s="43">
        <v>48</v>
      </c>
      <c r="H40" s="43">
        <v>49</v>
      </c>
      <c r="I40" s="43">
        <v>49</v>
      </c>
      <c r="J40" s="43">
        <v>50</v>
      </c>
      <c r="K40" s="43">
        <v>51</v>
      </c>
      <c r="L40" s="43">
        <v>49</v>
      </c>
      <c r="M40" s="43">
        <v>50</v>
      </c>
      <c r="N40" s="43">
        <v>50</v>
      </c>
      <c r="O40" s="43">
        <v>48</v>
      </c>
      <c r="P40" s="42">
        <f>SUM(D40:O40)</f>
        <v>591</v>
      </c>
      <c r="Q40" s="63">
        <f t="shared" si="8"/>
        <v>49.25</v>
      </c>
    </row>
    <row r="41" spans="1:17" ht="15.5" x14ac:dyDescent="0.3">
      <c r="A41" s="71"/>
      <c r="B41" s="91"/>
      <c r="C41" s="2" t="s">
        <v>16</v>
      </c>
      <c r="D41" s="42">
        <v>58</v>
      </c>
      <c r="E41" s="42">
        <v>52.4</v>
      </c>
      <c r="F41" s="42">
        <v>54</v>
      </c>
      <c r="G41" s="42">
        <v>60.7</v>
      </c>
      <c r="H41" s="42">
        <v>53.1</v>
      </c>
      <c r="I41" s="42">
        <v>52.4</v>
      </c>
      <c r="J41" s="42">
        <v>55.5</v>
      </c>
      <c r="K41" s="42">
        <v>50.7</v>
      </c>
      <c r="L41" s="42">
        <v>41.6</v>
      </c>
      <c r="M41" s="42">
        <v>35.299999999999997</v>
      </c>
      <c r="N41" s="42">
        <v>52.1</v>
      </c>
      <c r="O41" s="42">
        <v>50.4</v>
      </c>
      <c r="P41" s="42">
        <f t="shared" si="9"/>
        <v>616.20000000000005</v>
      </c>
      <c r="Q41" s="63">
        <f t="shared" si="8"/>
        <v>51.35</v>
      </c>
    </row>
    <row r="42" spans="1:17" ht="15.5" x14ac:dyDescent="0.3">
      <c r="A42" s="71"/>
      <c r="B42" s="91"/>
      <c r="C42" s="2" t="s">
        <v>17</v>
      </c>
      <c r="D42" s="52" t="s">
        <v>45</v>
      </c>
      <c r="E42" s="42">
        <v>26.2</v>
      </c>
      <c r="F42" s="42">
        <v>25.3</v>
      </c>
      <c r="G42" s="42">
        <v>26.8</v>
      </c>
      <c r="H42" s="42">
        <v>56</v>
      </c>
      <c r="I42" s="42">
        <v>53.8</v>
      </c>
      <c r="J42" s="42">
        <v>58.8</v>
      </c>
      <c r="K42" s="42">
        <v>53.3</v>
      </c>
      <c r="L42" s="42">
        <v>44.3</v>
      </c>
      <c r="M42" s="42">
        <v>45.5</v>
      </c>
      <c r="N42" s="42">
        <v>50.9</v>
      </c>
      <c r="O42" s="42">
        <v>52.8</v>
      </c>
      <c r="P42" s="42">
        <f t="shared" si="9"/>
        <v>493.70000000000005</v>
      </c>
      <c r="Q42" s="63">
        <f t="shared" si="8"/>
        <v>44.881818181818183</v>
      </c>
    </row>
    <row r="43" spans="1:17" ht="15.5" x14ac:dyDescent="0.3">
      <c r="A43" s="71"/>
      <c r="B43" s="91"/>
      <c r="C43" s="2" t="s">
        <v>18</v>
      </c>
      <c r="D43" s="42">
        <v>41</v>
      </c>
      <c r="E43" s="42">
        <v>58.8</v>
      </c>
      <c r="F43" s="42">
        <v>59.5</v>
      </c>
      <c r="G43" s="42">
        <v>43.1</v>
      </c>
      <c r="H43" s="42">
        <v>48.4</v>
      </c>
      <c r="I43" s="42">
        <v>56.6</v>
      </c>
      <c r="J43" s="42">
        <v>51.1</v>
      </c>
      <c r="K43" s="42">
        <v>51.3</v>
      </c>
      <c r="L43" s="42">
        <v>50.4</v>
      </c>
      <c r="M43" s="42">
        <v>43.4</v>
      </c>
      <c r="N43" s="42">
        <v>49.6</v>
      </c>
      <c r="O43" s="42">
        <v>54.6</v>
      </c>
      <c r="P43" s="42">
        <f t="shared" si="9"/>
        <v>607.80000000000007</v>
      </c>
      <c r="Q43" s="63">
        <f t="shared" si="8"/>
        <v>50.650000000000006</v>
      </c>
    </row>
    <row r="44" spans="1:17" ht="15.5" x14ac:dyDescent="0.3">
      <c r="A44" s="71"/>
      <c r="B44" s="91"/>
      <c r="C44" s="2" t="s">
        <v>19</v>
      </c>
      <c r="D44" s="42">
        <v>58</v>
      </c>
      <c r="E44" s="42">
        <v>56</v>
      </c>
      <c r="F44" s="42">
        <v>59</v>
      </c>
      <c r="G44" s="42">
        <v>63.5</v>
      </c>
      <c r="H44" s="42">
        <v>49</v>
      </c>
      <c r="I44" s="42">
        <v>54</v>
      </c>
      <c r="J44" s="42">
        <v>48</v>
      </c>
      <c r="K44" s="42">
        <v>52</v>
      </c>
      <c r="L44" s="42">
        <v>47</v>
      </c>
      <c r="M44" s="42">
        <v>48.5</v>
      </c>
      <c r="N44" s="42">
        <v>50</v>
      </c>
      <c r="O44" s="42">
        <v>55</v>
      </c>
      <c r="P44" s="42">
        <f t="shared" si="9"/>
        <v>640</v>
      </c>
      <c r="Q44" s="63">
        <f t="shared" si="8"/>
        <v>53.333333333333336</v>
      </c>
    </row>
    <row r="45" spans="1:17" ht="15.5" x14ac:dyDescent="0.3">
      <c r="A45" s="71"/>
      <c r="B45" s="91"/>
      <c r="C45" s="2" t="s">
        <v>20</v>
      </c>
      <c r="D45" s="42">
        <v>56</v>
      </c>
      <c r="E45" s="42">
        <v>61</v>
      </c>
      <c r="F45" s="42">
        <v>53</v>
      </c>
      <c r="G45" s="42">
        <v>58</v>
      </c>
      <c r="H45" s="42">
        <v>51</v>
      </c>
      <c r="I45" s="42">
        <v>55</v>
      </c>
      <c r="J45" s="42">
        <v>51</v>
      </c>
      <c r="K45" s="42">
        <v>49.5</v>
      </c>
      <c r="L45" s="42">
        <v>49</v>
      </c>
      <c r="M45" s="42">
        <v>55</v>
      </c>
      <c r="N45" s="42">
        <v>55.5</v>
      </c>
      <c r="O45" s="42">
        <v>54</v>
      </c>
      <c r="P45" s="42">
        <f t="shared" si="9"/>
        <v>648</v>
      </c>
      <c r="Q45" s="63">
        <f t="shared" si="8"/>
        <v>54</v>
      </c>
    </row>
    <row r="46" spans="1:17" ht="15.5" x14ac:dyDescent="0.3">
      <c r="A46" s="71"/>
      <c r="B46" s="91"/>
      <c r="C46" s="2" t="s">
        <v>21</v>
      </c>
      <c r="D46" s="42">
        <v>56</v>
      </c>
      <c r="E46" s="42">
        <v>60</v>
      </c>
      <c r="F46" s="42">
        <v>53</v>
      </c>
      <c r="G46" s="42">
        <v>60</v>
      </c>
      <c r="H46" s="42">
        <v>51</v>
      </c>
      <c r="I46" s="42">
        <v>49</v>
      </c>
      <c r="J46" s="42">
        <v>49</v>
      </c>
      <c r="K46" s="42">
        <v>47</v>
      </c>
      <c r="L46" s="42">
        <v>56</v>
      </c>
      <c r="M46" s="42">
        <v>51.5</v>
      </c>
      <c r="N46" s="42">
        <v>51</v>
      </c>
      <c r="O46" s="42">
        <v>49</v>
      </c>
      <c r="P46" s="42">
        <f t="shared" si="9"/>
        <v>632.5</v>
      </c>
      <c r="Q46" s="63">
        <f t="shared" si="8"/>
        <v>52.708333333333336</v>
      </c>
    </row>
    <row r="47" spans="1:17" ht="15.5" x14ac:dyDescent="0.3">
      <c r="A47" s="71"/>
      <c r="B47" s="91"/>
      <c r="C47" s="2" t="s">
        <v>48</v>
      </c>
      <c r="D47" s="42">
        <f>SUM(D38:D46)</f>
        <v>423</v>
      </c>
      <c r="E47" s="42">
        <f t="shared" ref="E47:O47" si="10">SUM(E38:E46)</f>
        <v>469.4</v>
      </c>
      <c r="F47" s="42">
        <f t="shared" si="10"/>
        <v>450.8</v>
      </c>
      <c r="G47" s="42">
        <f t="shared" si="10"/>
        <v>463.6</v>
      </c>
      <c r="H47" s="42">
        <f t="shared" si="10"/>
        <v>448.5</v>
      </c>
      <c r="I47" s="42">
        <f t="shared" si="10"/>
        <v>464.8</v>
      </c>
      <c r="J47" s="42">
        <f t="shared" si="10"/>
        <v>462.40000000000003</v>
      </c>
      <c r="K47" s="42">
        <f t="shared" si="10"/>
        <v>445.8</v>
      </c>
      <c r="L47" s="42">
        <f t="shared" si="10"/>
        <v>415.29999999999995</v>
      </c>
      <c r="M47" s="42">
        <f t="shared" si="10"/>
        <v>430.2</v>
      </c>
      <c r="N47" s="42">
        <f t="shared" si="10"/>
        <v>461.6</v>
      </c>
      <c r="O47" s="42">
        <f t="shared" si="10"/>
        <v>465.8</v>
      </c>
      <c r="P47" s="42">
        <f t="shared" si="9"/>
        <v>5401.2000000000007</v>
      </c>
      <c r="Q47" s="63"/>
    </row>
    <row r="48" spans="1:17" ht="15.5" x14ac:dyDescent="0.3">
      <c r="A48" s="72"/>
      <c r="B48" s="92"/>
      <c r="C48" s="2" t="s">
        <v>47</v>
      </c>
      <c r="D48" s="35">
        <f>AVERAGE(D38:D46)</f>
        <v>52.875</v>
      </c>
      <c r="E48" s="35">
        <f t="shared" ref="E48:O48" si="11">AVERAGE(E38:E46)</f>
        <v>52.155555555555551</v>
      </c>
      <c r="F48" s="35">
        <f t="shared" si="11"/>
        <v>50.088888888888889</v>
      </c>
      <c r="G48" s="35">
        <f t="shared" si="11"/>
        <v>51.511111111111113</v>
      </c>
      <c r="H48" s="35">
        <f t="shared" si="11"/>
        <v>49.833333333333336</v>
      </c>
      <c r="I48" s="35">
        <f t="shared" si="11"/>
        <v>51.644444444444446</v>
      </c>
      <c r="J48" s="35">
        <f t="shared" si="11"/>
        <v>51.37777777777778</v>
      </c>
      <c r="K48" s="35">
        <f t="shared" si="11"/>
        <v>49.533333333333331</v>
      </c>
      <c r="L48" s="35">
        <f t="shared" si="11"/>
        <v>46.144444444444439</v>
      </c>
      <c r="M48" s="35">
        <f t="shared" si="11"/>
        <v>47.8</v>
      </c>
      <c r="N48" s="35">
        <f t="shared" si="11"/>
        <v>51.288888888888891</v>
      </c>
      <c r="O48" s="35">
        <f t="shared" si="11"/>
        <v>51.75555555555556</v>
      </c>
      <c r="P48" s="42"/>
      <c r="Q48" s="63"/>
    </row>
    <row r="49" spans="1:17" ht="15.5" x14ac:dyDescent="0.3">
      <c r="A49" s="16"/>
      <c r="B49" s="18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55"/>
    </row>
    <row r="50" spans="1:17" ht="14.5" customHeight="1" x14ac:dyDescent="0.3"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5"/>
    </row>
    <row r="51" spans="1:17" x14ac:dyDescent="0.3">
      <c r="A51" s="3" t="s">
        <v>29</v>
      </c>
      <c r="B51" s="3" t="s">
        <v>35</v>
      </c>
      <c r="C51" s="70" t="s">
        <v>2</v>
      </c>
      <c r="D51" s="93" t="s">
        <v>3</v>
      </c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5"/>
      <c r="P51" s="45"/>
      <c r="Q51" s="87" t="s">
        <v>47</v>
      </c>
    </row>
    <row r="52" spans="1:17" ht="16.5" customHeight="1" x14ac:dyDescent="0.3">
      <c r="A52" s="20">
        <v>4</v>
      </c>
      <c r="B52" s="23" t="s">
        <v>39</v>
      </c>
      <c r="C52" s="71"/>
      <c r="D52" s="93" t="s">
        <v>4</v>
      </c>
      <c r="E52" s="94"/>
      <c r="F52" s="94"/>
      <c r="G52" s="95"/>
      <c r="H52" s="93" t="s">
        <v>11</v>
      </c>
      <c r="I52" s="94"/>
      <c r="J52" s="94"/>
      <c r="K52" s="95"/>
      <c r="L52" s="93" t="s">
        <v>12</v>
      </c>
      <c r="M52" s="94"/>
      <c r="N52" s="94"/>
      <c r="O52" s="95"/>
      <c r="P52" s="46" t="s">
        <v>48</v>
      </c>
      <c r="Q52" s="88"/>
    </row>
    <row r="53" spans="1:17" x14ac:dyDescent="0.3">
      <c r="A53" s="21"/>
      <c r="B53" s="24"/>
      <c r="C53" s="72"/>
      <c r="D53" s="47" t="s">
        <v>5</v>
      </c>
      <c r="E53" s="47" t="s">
        <v>7</v>
      </c>
      <c r="F53" s="47" t="s">
        <v>8</v>
      </c>
      <c r="G53" s="47" t="s">
        <v>10</v>
      </c>
      <c r="H53" s="47" t="s">
        <v>5</v>
      </c>
      <c r="I53" s="47" t="s">
        <v>7</v>
      </c>
      <c r="J53" s="47" t="s">
        <v>8</v>
      </c>
      <c r="K53" s="47" t="s">
        <v>10</v>
      </c>
      <c r="L53" s="47" t="s">
        <v>5</v>
      </c>
      <c r="M53" s="47" t="s">
        <v>7</v>
      </c>
      <c r="N53" s="47" t="s">
        <v>8</v>
      </c>
      <c r="O53" s="47" t="s">
        <v>10</v>
      </c>
      <c r="P53" s="48"/>
      <c r="Q53" s="89"/>
    </row>
    <row r="54" spans="1:17" ht="15.5" x14ac:dyDescent="0.3">
      <c r="A54" s="21"/>
      <c r="B54" s="24"/>
      <c r="C54" s="2" t="s">
        <v>13</v>
      </c>
      <c r="D54" s="42">
        <v>71</v>
      </c>
      <c r="E54" s="42" t="s">
        <v>46</v>
      </c>
      <c r="F54" s="42">
        <v>71</v>
      </c>
      <c r="G54" s="42">
        <v>76</v>
      </c>
      <c r="H54" s="42">
        <v>55.4</v>
      </c>
      <c r="I54" s="42">
        <v>58</v>
      </c>
      <c r="J54" s="42">
        <v>55.6</v>
      </c>
      <c r="K54" s="42">
        <v>61.5</v>
      </c>
      <c r="L54" s="42">
        <v>68</v>
      </c>
      <c r="M54" s="42">
        <v>69</v>
      </c>
      <c r="N54" s="42">
        <v>61</v>
      </c>
      <c r="O54" s="42">
        <v>72.599999999999994</v>
      </c>
      <c r="P54" s="42">
        <f>SUM(D54:O54)</f>
        <v>719.1</v>
      </c>
      <c r="Q54" s="63">
        <f t="shared" ref="Q54:Q62" si="12">AVERAGE(D54:O54)</f>
        <v>65.372727272727275</v>
      </c>
    </row>
    <row r="55" spans="1:17" ht="15.5" customHeight="1" x14ac:dyDescent="0.3">
      <c r="A55" s="21"/>
      <c r="B55" s="24"/>
      <c r="C55" s="2" t="s">
        <v>14</v>
      </c>
      <c r="D55" s="43">
        <v>69</v>
      </c>
      <c r="E55" s="43">
        <v>66</v>
      </c>
      <c r="F55" s="43">
        <v>65</v>
      </c>
      <c r="G55" s="43">
        <v>67</v>
      </c>
      <c r="H55" s="43">
        <v>66</v>
      </c>
      <c r="I55" s="43">
        <v>65</v>
      </c>
      <c r="J55" s="43">
        <v>64</v>
      </c>
      <c r="K55" s="43">
        <v>68</v>
      </c>
      <c r="L55" s="43">
        <v>69</v>
      </c>
      <c r="M55" s="43">
        <v>66</v>
      </c>
      <c r="N55" s="43">
        <v>67</v>
      </c>
      <c r="O55" s="43">
        <v>68</v>
      </c>
      <c r="P55" s="42">
        <f t="shared" ref="P55:P63" si="13">SUM(D55:O55)</f>
        <v>800</v>
      </c>
      <c r="Q55" s="63">
        <f t="shared" si="12"/>
        <v>66.666666666666671</v>
      </c>
    </row>
    <row r="56" spans="1:17" ht="15.5" x14ac:dyDescent="0.3">
      <c r="A56" s="21"/>
      <c r="B56" s="24"/>
      <c r="C56" s="2" t="s">
        <v>15</v>
      </c>
      <c r="D56" s="43">
        <v>71</v>
      </c>
      <c r="E56" s="43">
        <v>70</v>
      </c>
      <c r="F56" s="43">
        <v>69</v>
      </c>
      <c r="G56" s="43">
        <v>68</v>
      </c>
      <c r="H56" s="43">
        <v>68</v>
      </c>
      <c r="I56" s="43">
        <v>69</v>
      </c>
      <c r="J56" s="43">
        <v>67</v>
      </c>
      <c r="K56" s="43">
        <v>66</v>
      </c>
      <c r="L56" s="43">
        <v>68</v>
      </c>
      <c r="M56" s="43">
        <v>70</v>
      </c>
      <c r="N56" s="43">
        <v>69</v>
      </c>
      <c r="O56" s="43">
        <v>68</v>
      </c>
      <c r="P56" s="42">
        <f t="shared" si="13"/>
        <v>823</v>
      </c>
      <c r="Q56" s="63">
        <f t="shared" si="12"/>
        <v>68.583333333333329</v>
      </c>
    </row>
    <row r="57" spans="1:17" ht="15.5" x14ac:dyDescent="0.3">
      <c r="A57" s="21"/>
      <c r="B57" s="24"/>
      <c r="C57" s="2" t="s">
        <v>16</v>
      </c>
      <c r="D57" s="42">
        <v>76</v>
      </c>
      <c r="E57" s="42">
        <v>64</v>
      </c>
      <c r="F57" s="42">
        <v>76.5</v>
      </c>
      <c r="G57" s="42">
        <v>72</v>
      </c>
      <c r="H57" s="42">
        <v>72.3</v>
      </c>
      <c r="I57" s="42">
        <v>73.5</v>
      </c>
      <c r="J57" s="42">
        <v>73.8</v>
      </c>
      <c r="K57" s="42">
        <v>76</v>
      </c>
      <c r="L57" s="42">
        <v>69.5</v>
      </c>
      <c r="M57" s="42">
        <v>62.3</v>
      </c>
      <c r="N57" s="42">
        <v>62.5</v>
      </c>
      <c r="O57" s="42">
        <v>67.5</v>
      </c>
      <c r="P57" s="42">
        <f t="shared" si="13"/>
        <v>845.9</v>
      </c>
      <c r="Q57" s="63">
        <f t="shared" si="12"/>
        <v>70.49166666666666</v>
      </c>
    </row>
    <row r="58" spans="1:17" ht="15.5" x14ac:dyDescent="0.3">
      <c r="A58" s="21"/>
      <c r="B58" s="24"/>
      <c r="C58" s="2" t="s">
        <v>17</v>
      </c>
      <c r="D58" s="42">
        <v>73.900000000000006</v>
      </c>
      <c r="E58" s="42">
        <v>78.5</v>
      </c>
      <c r="F58" s="42">
        <v>74.3</v>
      </c>
      <c r="G58" s="42">
        <v>71.5</v>
      </c>
      <c r="H58" s="42">
        <v>73.5</v>
      </c>
      <c r="I58" s="42">
        <v>76.099999999999994</v>
      </c>
      <c r="J58" s="42">
        <v>78.8</v>
      </c>
      <c r="K58" s="42">
        <v>79.3</v>
      </c>
      <c r="L58" s="42">
        <v>60</v>
      </c>
      <c r="M58" s="42">
        <v>67.099999999999994</v>
      </c>
      <c r="N58" s="42">
        <v>60.8</v>
      </c>
      <c r="O58" s="42">
        <v>66.400000000000006</v>
      </c>
      <c r="P58" s="42">
        <f t="shared" si="13"/>
        <v>860.19999999999982</v>
      </c>
      <c r="Q58" s="63">
        <f t="shared" si="12"/>
        <v>71.683333333333323</v>
      </c>
    </row>
    <row r="59" spans="1:17" ht="15.5" x14ac:dyDescent="0.3">
      <c r="A59" s="21"/>
      <c r="B59" s="24"/>
      <c r="C59" s="2" t="s">
        <v>18</v>
      </c>
      <c r="D59" s="42">
        <v>62.8</v>
      </c>
      <c r="E59" s="42">
        <v>85.1</v>
      </c>
      <c r="F59" s="42">
        <v>62.3</v>
      </c>
      <c r="G59" s="42">
        <v>72.099999999999994</v>
      </c>
      <c r="H59" s="42">
        <v>71.599999999999994</v>
      </c>
      <c r="I59" s="42">
        <v>83.1</v>
      </c>
      <c r="J59" s="42">
        <v>70.400000000000006</v>
      </c>
      <c r="K59" s="42">
        <v>77.900000000000006</v>
      </c>
      <c r="L59" s="42">
        <v>72</v>
      </c>
      <c r="M59" s="42">
        <v>65.599999999999994</v>
      </c>
      <c r="N59" s="42">
        <v>68.5</v>
      </c>
      <c r="O59" s="42">
        <v>65.900000000000006</v>
      </c>
      <c r="P59" s="42">
        <f t="shared" si="13"/>
        <v>857.3</v>
      </c>
      <c r="Q59" s="63">
        <f t="shared" si="12"/>
        <v>71.441666666666663</v>
      </c>
    </row>
    <row r="60" spans="1:17" ht="15.5" x14ac:dyDescent="0.3">
      <c r="A60" s="21"/>
      <c r="B60" s="24"/>
      <c r="C60" s="2" t="s">
        <v>19</v>
      </c>
      <c r="D60" s="42">
        <v>80</v>
      </c>
      <c r="E60" s="42">
        <v>75.3</v>
      </c>
      <c r="F60" s="42">
        <v>79.599999999999994</v>
      </c>
      <c r="G60" s="42">
        <v>80.5</v>
      </c>
      <c r="H60" s="42">
        <v>65</v>
      </c>
      <c r="I60" s="42">
        <v>72</v>
      </c>
      <c r="J60" s="42">
        <v>71</v>
      </c>
      <c r="K60" s="42">
        <v>70</v>
      </c>
      <c r="L60" s="42">
        <v>63.2</v>
      </c>
      <c r="M60" s="42">
        <v>59</v>
      </c>
      <c r="N60" s="42">
        <v>66</v>
      </c>
      <c r="O60" s="42">
        <v>69.5</v>
      </c>
      <c r="P60" s="42">
        <f t="shared" si="13"/>
        <v>851.1</v>
      </c>
      <c r="Q60" s="63">
        <f t="shared" si="12"/>
        <v>70.924999999999997</v>
      </c>
    </row>
    <row r="61" spans="1:17" ht="15.5" x14ac:dyDescent="0.3">
      <c r="A61" s="21"/>
      <c r="B61" s="24"/>
      <c r="C61" s="2" t="s">
        <v>20</v>
      </c>
      <c r="D61" s="42">
        <v>72</v>
      </c>
      <c r="E61" s="42">
        <v>89.2</v>
      </c>
      <c r="F61" s="42">
        <v>74</v>
      </c>
      <c r="G61" s="42">
        <v>81.400000000000006</v>
      </c>
      <c r="H61" s="42">
        <v>70</v>
      </c>
      <c r="I61" s="42">
        <v>72</v>
      </c>
      <c r="J61" s="42">
        <v>75.5</v>
      </c>
      <c r="K61" s="42">
        <v>72.400000000000006</v>
      </c>
      <c r="L61" s="42">
        <v>68</v>
      </c>
      <c r="M61" s="42">
        <v>73</v>
      </c>
      <c r="N61" s="42">
        <v>71</v>
      </c>
      <c r="O61" s="42">
        <v>74</v>
      </c>
      <c r="P61" s="42">
        <f t="shared" si="13"/>
        <v>892.5</v>
      </c>
      <c r="Q61" s="63">
        <f t="shared" si="12"/>
        <v>74.375</v>
      </c>
    </row>
    <row r="62" spans="1:17" ht="15.5" x14ac:dyDescent="0.3">
      <c r="A62" s="22"/>
      <c r="B62" s="25"/>
      <c r="C62" s="2" t="s">
        <v>21</v>
      </c>
      <c r="D62" s="42">
        <v>68</v>
      </c>
      <c r="E62" s="42">
        <v>74.599999999999994</v>
      </c>
      <c r="F62" s="42">
        <v>77</v>
      </c>
      <c r="G62" s="42">
        <v>67.400000000000006</v>
      </c>
      <c r="H62" s="42">
        <v>77</v>
      </c>
      <c r="I62" s="42">
        <v>67.400000000000006</v>
      </c>
      <c r="J62" s="42">
        <v>67</v>
      </c>
      <c r="K62" s="42">
        <v>68</v>
      </c>
      <c r="L62" s="42">
        <v>69.5</v>
      </c>
      <c r="M62" s="42">
        <v>65</v>
      </c>
      <c r="N62" s="42">
        <v>83.5</v>
      </c>
      <c r="O62" s="42">
        <v>84</v>
      </c>
      <c r="P62" s="42">
        <f t="shared" si="13"/>
        <v>868.4</v>
      </c>
      <c r="Q62" s="63">
        <f t="shared" si="12"/>
        <v>72.36666666666666</v>
      </c>
    </row>
    <row r="63" spans="1:17" ht="15.5" x14ac:dyDescent="0.3">
      <c r="A63" s="26"/>
      <c r="B63" s="28"/>
      <c r="C63" s="2" t="s">
        <v>48</v>
      </c>
      <c r="D63" s="42">
        <f>SUM(D54:D62)</f>
        <v>643.70000000000005</v>
      </c>
      <c r="E63" s="42">
        <f t="shared" ref="E63:O63" si="14">SUM(E54:E62)</f>
        <v>602.70000000000005</v>
      </c>
      <c r="F63" s="42">
        <f t="shared" si="14"/>
        <v>648.70000000000005</v>
      </c>
      <c r="G63" s="42">
        <f t="shared" si="14"/>
        <v>655.9</v>
      </c>
      <c r="H63" s="42">
        <f t="shared" si="14"/>
        <v>618.79999999999995</v>
      </c>
      <c r="I63" s="42">
        <f t="shared" si="14"/>
        <v>636.1</v>
      </c>
      <c r="J63" s="42">
        <f t="shared" si="14"/>
        <v>623.1</v>
      </c>
      <c r="K63" s="42">
        <f t="shared" si="14"/>
        <v>639.1</v>
      </c>
      <c r="L63" s="42">
        <f t="shared" si="14"/>
        <v>607.20000000000005</v>
      </c>
      <c r="M63" s="42">
        <f t="shared" si="14"/>
        <v>597</v>
      </c>
      <c r="N63" s="42">
        <f t="shared" si="14"/>
        <v>609.29999999999995</v>
      </c>
      <c r="O63" s="42">
        <f t="shared" si="14"/>
        <v>635.9</v>
      </c>
      <c r="P63" s="42">
        <f t="shared" si="13"/>
        <v>7517.5</v>
      </c>
      <c r="Q63" s="63"/>
    </row>
    <row r="64" spans="1:17" ht="15.5" x14ac:dyDescent="0.3">
      <c r="A64" s="26"/>
      <c r="B64" s="28"/>
      <c r="C64" s="2" t="s">
        <v>47</v>
      </c>
      <c r="D64" s="35">
        <f>AVERAGE(D54:D62)</f>
        <v>71.522222222222226</v>
      </c>
      <c r="E64" s="35">
        <f t="shared" ref="E64:O64" si="15">AVERAGE(E54:E62)</f>
        <v>75.337500000000006</v>
      </c>
      <c r="F64" s="35">
        <f t="shared" si="15"/>
        <v>72.077777777777783</v>
      </c>
      <c r="G64" s="35">
        <f t="shared" si="15"/>
        <v>72.87777777777778</v>
      </c>
      <c r="H64" s="35">
        <f t="shared" si="15"/>
        <v>68.755555555555546</v>
      </c>
      <c r="I64" s="35">
        <f t="shared" si="15"/>
        <v>70.677777777777777</v>
      </c>
      <c r="J64" s="35">
        <f t="shared" si="15"/>
        <v>69.233333333333334</v>
      </c>
      <c r="K64" s="35">
        <f t="shared" si="15"/>
        <v>71.01111111111112</v>
      </c>
      <c r="L64" s="35">
        <f t="shared" si="15"/>
        <v>67.466666666666669</v>
      </c>
      <c r="M64" s="35">
        <f t="shared" si="15"/>
        <v>66.333333333333329</v>
      </c>
      <c r="N64" s="35">
        <f t="shared" si="15"/>
        <v>67.699999999999989</v>
      </c>
      <c r="O64" s="35">
        <f t="shared" si="15"/>
        <v>70.655555555555551</v>
      </c>
      <c r="P64" s="42"/>
      <c r="Q64" s="63"/>
    </row>
    <row r="65" spans="1:17" ht="15.5" x14ac:dyDescent="0.3">
      <c r="A65" s="16"/>
      <c r="B65" s="16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55"/>
    </row>
    <row r="66" spans="1:17" ht="14.5" customHeight="1" x14ac:dyDescent="0.3"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5"/>
    </row>
    <row r="67" spans="1:17" x14ac:dyDescent="0.3">
      <c r="A67" s="3" t="s">
        <v>29</v>
      </c>
      <c r="B67" s="3" t="s">
        <v>35</v>
      </c>
      <c r="C67" s="70" t="s">
        <v>2</v>
      </c>
      <c r="D67" s="93" t="s">
        <v>3</v>
      </c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5"/>
      <c r="P67" s="45"/>
      <c r="Q67" s="87" t="s">
        <v>47</v>
      </c>
    </row>
    <row r="68" spans="1:17" ht="16.5" customHeight="1" x14ac:dyDescent="0.3">
      <c r="A68" s="70">
        <v>5</v>
      </c>
      <c r="B68" s="90" t="s">
        <v>40</v>
      </c>
      <c r="C68" s="71"/>
      <c r="D68" s="93" t="s">
        <v>4</v>
      </c>
      <c r="E68" s="94"/>
      <c r="F68" s="94"/>
      <c r="G68" s="95"/>
      <c r="H68" s="93" t="s">
        <v>11</v>
      </c>
      <c r="I68" s="94"/>
      <c r="J68" s="94"/>
      <c r="K68" s="95"/>
      <c r="L68" s="93" t="s">
        <v>12</v>
      </c>
      <c r="M68" s="94"/>
      <c r="N68" s="94"/>
      <c r="O68" s="95"/>
      <c r="P68" s="46" t="s">
        <v>48</v>
      </c>
      <c r="Q68" s="88"/>
    </row>
    <row r="69" spans="1:17" x14ac:dyDescent="0.3">
      <c r="A69" s="71"/>
      <c r="B69" s="91"/>
      <c r="C69" s="72"/>
      <c r="D69" s="47" t="s">
        <v>5</v>
      </c>
      <c r="E69" s="47" t="s">
        <v>7</v>
      </c>
      <c r="F69" s="47" t="s">
        <v>8</v>
      </c>
      <c r="G69" s="47" t="s">
        <v>10</v>
      </c>
      <c r="H69" s="47" t="s">
        <v>5</v>
      </c>
      <c r="I69" s="47" t="s">
        <v>7</v>
      </c>
      <c r="J69" s="47" t="s">
        <v>8</v>
      </c>
      <c r="K69" s="47" t="s">
        <v>10</v>
      </c>
      <c r="L69" s="47" t="s">
        <v>5</v>
      </c>
      <c r="M69" s="47" t="s">
        <v>7</v>
      </c>
      <c r="N69" s="47" t="s">
        <v>8</v>
      </c>
      <c r="O69" s="47" t="s">
        <v>10</v>
      </c>
      <c r="P69" s="48"/>
      <c r="Q69" s="89"/>
    </row>
    <row r="70" spans="1:17" ht="15.5" x14ac:dyDescent="0.3">
      <c r="A70" s="71"/>
      <c r="B70" s="91"/>
      <c r="C70" s="2" t="s">
        <v>13</v>
      </c>
      <c r="D70" s="42">
        <v>83</v>
      </c>
      <c r="E70" s="42">
        <v>80</v>
      </c>
      <c r="F70" s="42">
        <v>74</v>
      </c>
      <c r="G70" s="42">
        <v>89</v>
      </c>
      <c r="H70" s="42">
        <v>74</v>
      </c>
      <c r="I70" s="42">
        <v>79.5</v>
      </c>
      <c r="J70" s="42">
        <v>70</v>
      </c>
      <c r="K70" s="42">
        <v>79</v>
      </c>
      <c r="L70" s="42">
        <v>75</v>
      </c>
      <c r="M70" s="42">
        <v>77</v>
      </c>
      <c r="N70" s="42">
        <v>78</v>
      </c>
      <c r="O70" s="42">
        <v>79</v>
      </c>
      <c r="P70" s="42">
        <f>--SUM(D70:O70)</f>
        <v>937.5</v>
      </c>
      <c r="Q70" s="63">
        <f t="shared" ref="Q70:Q78" si="16">AVERAGE(D70:O70)</f>
        <v>78.125</v>
      </c>
    </row>
    <row r="71" spans="1:17" ht="15.5" x14ac:dyDescent="0.3">
      <c r="A71" s="71"/>
      <c r="B71" s="91"/>
      <c r="C71" s="2" t="s">
        <v>14</v>
      </c>
      <c r="D71" s="43">
        <v>78</v>
      </c>
      <c r="E71" s="43">
        <v>76</v>
      </c>
      <c r="F71" s="43">
        <v>79</v>
      </c>
      <c r="G71" s="43">
        <v>79</v>
      </c>
      <c r="H71" s="43">
        <v>76</v>
      </c>
      <c r="I71" s="43">
        <v>78</v>
      </c>
      <c r="J71" s="43">
        <v>76</v>
      </c>
      <c r="K71" s="43">
        <v>77</v>
      </c>
      <c r="L71" s="43">
        <v>75</v>
      </c>
      <c r="M71" s="43">
        <v>74</v>
      </c>
      <c r="N71" s="43">
        <v>75</v>
      </c>
      <c r="O71" s="43">
        <v>78</v>
      </c>
      <c r="P71" s="42">
        <f t="shared" ref="P71:P79" si="17">--SUM(D71:O71)</f>
        <v>921</v>
      </c>
      <c r="Q71" s="63">
        <f t="shared" si="16"/>
        <v>76.75</v>
      </c>
    </row>
    <row r="72" spans="1:17" ht="16" customHeight="1" x14ac:dyDescent="0.3">
      <c r="A72" s="71"/>
      <c r="B72" s="91"/>
      <c r="C72" s="2" t="s">
        <v>15</v>
      </c>
      <c r="D72" s="43">
        <v>79</v>
      </c>
      <c r="E72" s="43">
        <v>77</v>
      </c>
      <c r="F72" s="43">
        <v>78</v>
      </c>
      <c r="G72" s="43">
        <v>77</v>
      </c>
      <c r="H72" s="43">
        <v>75</v>
      </c>
      <c r="I72" s="43">
        <v>75</v>
      </c>
      <c r="J72" s="43">
        <v>76</v>
      </c>
      <c r="K72" s="43">
        <v>75</v>
      </c>
      <c r="L72" s="43">
        <v>76</v>
      </c>
      <c r="M72" s="43">
        <v>78</v>
      </c>
      <c r="N72" s="43">
        <v>79</v>
      </c>
      <c r="O72" s="43">
        <v>77</v>
      </c>
      <c r="P72" s="42">
        <f t="shared" si="17"/>
        <v>922</v>
      </c>
      <c r="Q72" s="63">
        <f t="shared" si="16"/>
        <v>76.833333333333329</v>
      </c>
    </row>
    <row r="73" spans="1:17" ht="15.5" x14ac:dyDescent="0.3">
      <c r="A73" s="71"/>
      <c r="B73" s="91"/>
      <c r="C73" s="2" t="s">
        <v>16</v>
      </c>
      <c r="D73" s="42">
        <v>64</v>
      </c>
      <c r="E73" s="42">
        <v>64</v>
      </c>
      <c r="F73" s="42">
        <v>54</v>
      </c>
      <c r="G73" s="42">
        <v>47</v>
      </c>
      <c r="H73" s="42">
        <v>90.5</v>
      </c>
      <c r="I73" s="42">
        <v>91</v>
      </c>
      <c r="J73" s="42">
        <v>95.5</v>
      </c>
      <c r="K73" s="42">
        <v>100</v>
      </c>
      <c r="L73" s="42">
        <v>75.5</v>
      </c>
      <c r="M73" s="42">
        <v>76.400000000000006</v>
      </c>
      <c r="N73" s="42">
        <v>80.2</v>
      </c>
      <c r="O73" s="42">
        <v>82</v>
      </c>
      <c r="P73" s="42">
        <f t="shared" si="17"/>
        <v>920.1</v>
      </c>
      <c r="Q73" s="63">
        <f t="shared" si="16"/>
        <v>76.674999999999997</v>
      </c>
    </row>
    <row r="74" spans="1:17" ht="15.5" x14ac:dyDescent="0.3">
      <c r="A74" s="71"/>
      <c r="B74" s="91"/>
      <c r="C74" s="2" t="s">
        <v>17</v>
      </c>
      <c r="D74" s="42">
        <v>100.8</v>
      </c>
      <c r="E74" s="42">
        <v>98.2</v>
      </c>
      <c r="F74" s="42">
        <v>95.1</v>
      </c>
      <c r="G74" s="42">
        <v>94.6</v>
      </c>
      <c r="H74" s="42">
        <v>92.6</v>
      </c>
      <c r="I74" s="42">
        <v>84.1</v>
      </c>
      <c r="J74" s="42">
        <v>81.7</v>
      </c>
      <c r="K74" s="42">
        <v>81.8</v>
      </c>
      <c r="L74" s="42">
        <v>75</v>
      </c>
      <c r="M74" s="42">
        <v>76</v>
      </c>
      <c r="N74" s="42">
        <v>64</v>
      </c>
      <c r="O74" s="42">
        <v>72</v>
      </c>
      <c r="P74" s="42">
        <f t="shared" si="17"/>
        <v>1015.9000000000001</v>
      </c>
      <c r="Q74" s="63">
        <f t="shared" si="16"/>
        <v>84.658333333333346</v>
      </c>
    </row>
    <row r="75" spans="1:17" ht="15.5" x14ac:dyDescent="0.3">
      <c r="A75" s="71"/>
      <c r="B75" s="91"/>
      <c r="C75" s="2" t="s">
        <v>18</v>
      </c>
      <c r="D75" s="42">
        <v>95.5</v>
      </c>
      <c r="E75" s="42">
        <v>94</v>
      </c>
      <c r="F75" s="42">
        <v>95</v>
      </c>
      <c r="G75" s="42">
        <v>94.5</v>
      </c>
      <c r="H75" s="42">
        <v>79.599999999999994</v>
      </c>
      <c r="I75" s="42">
        <v>65</v>
      </c>
      <c r="J75" s="42">
        <v>67.099999999999994</v>
      </c>
      <c r="K75" s="42">
        <v>49.8</v>
      </c>
      <c r="L75" s="42">
        <v>68.2</v>
      </c>
      <c r="M75" s="42">
        <v>73.8</v>
      </c>
      <c r="N75" s="42">
        <v>70.5</v>
      </c>
      <c r="O75" s="42">
        <v>73</v>
      </c>
      <c r="P75" s="42">
        <f t="shared" si="17"/>
        <v>926</v>
      </c>
      <c r="Q75" s="63">
        <f t="shared" si="16"/>
        <v>77.166666666666671</v>
      </c>
    </row>
    <row r="76" spans="1:17" ht="15.5" x14ac:dyDescent="0.3">
      <c r="A76" s="71"/>
      <c r="B76" s="91"/>
      <c r="C76" s="2" t="s">
        <v>19</v>
      </c>
      <c r="D76" s="42">
        <v>101</v>
      </c>
      <c r="E76" s="42">
        <v>97</v>
      </c>
      <c r="F76" s="42">
        <v>97.5</v>
      </c>
      <c r="G76" s="42">
        <v>106</v>
      </c>
      <c r="H76" s="42">
        <v>86</v>
      </c>
      <c r="I76" s="42">
        <v>87</v>
      </c>
      <c r="J76" s="42">
        <v>89</v>
      </c>
      <c r="K76" s="42">
        <v>91</v>
      </c>
      <c r="L76" s="42">
        <v>79</v>
      </c>
      <c r="M76" s="42">
        <v>69</v>
      </c>
      <c r="N76" s="42">
        <v>78</v>
      </c>
      <c r="O76" s="42">
        <v>83</v>
      </c>
      <c r="P76" s="42">
        <f t="shared" si="17"/>
        <v>1063.5</v>
      </c>
      <c r="Q76" s="63">
        <f t="shared" si="16"/>
        <v>88.625</v>
      </c>
    </row>
    <row r="77" spans="1:17" ht="15.5" x14ac:dyDescent="0.3">
      <c r="A77" s="71"/>
      <c r="B77" s="91"/>
      <c r="C77" s="2" t="s">
        <v>20</v>
      </c>
      <c r="D77" s="42">
        <v>96</v>
      </c>
      <c r="E77" s="42">
        <v>99</v>
      </c>
      <c r="F77" s="42">
        <v>93</v>
      </c>
      <c r="G77" s="42">
        <v>93.3</v>
      </c>
      <c r="H77" s="42">
        <v>93.8</v>
      </c>
      <c r="I77" s="42">
        <v>89.3</v>
      </c>
      <c r="J77" s="42">
        <v>94.5</v>
      </c>
      <c r="K77" s="42">
        <v>93.5</v>
      </c>
      <c r="L77" s="42">
        <v>89</v>
      </c>
      <c r="M77" s="42">
        <v>90</v>
      </c>
      <c r="N77" s="42">
        <v>97</v>
      </c>
      <c r="O77" s="42">
        <v>90</v>
      </c>
      <c r="P77" s="42">
        <f t="shared" si="17"/>
        <v>1118.4000000000001</v>
      </c>
      <c r="Q77" s="63">
        <f t="shared" si="16"/>
        <v>93.2</v>
      </c>
    </row>
    <row r="78" spans="1:17" ht="15.5" x14ac:dyDescent="0.3">
      <c r="A78" s="71"/>
      <c r="B78" s="91"/>
      <c r="C78" s="2" t="s">
        <v>21</v>
      </c>
      <c r="D78" s="42">
        <v>84</v>
      </c>
      <c r="E78" s="42">
        <v>95</v>
      </c>
      <c r="F78" s="42">
        <v>92.3</v>
      </c>
      <c r="G78" s="42">
        <v>95.5</v>
      </c>
      <c r="H78" s="42">
        <v>93</v>
      </c>
      <c r="I78" s="42">
        <v>91</v>
      </c>
      <c r="J78" s="42">
        <v>89.5</v>
      </c>
      <c r="K78" s="42">
        <v>91</v>
      </c>
      <c r="L78" s="42">
        <v>77</v>
      </c>
      <c r="M78" s="42">
        <v>82</v>
      </c>
      <c r="N78" s="42">
        <v>87</v>
      </c>
      <c r="O78" s="42">
        <v>87</v>
      </c>
      <c r="P78" s="42">
        <f t="shared" si="17"/>
        <v>1064.3</v>
      </c>
      <c r="Q78" s="63">
        <f t="shared" si="16"/>
        <v>88.691666666666663</v>
      </c>
    </row>
    <row r="79" spans="1:17" ht="15.5" x14ac:dyDescent="0.3">
      <c r="A79" s="71"/>
      <c r="B79" s="91"/>
      <c r="C79" s="2" t="s">
        <v>48</v>
      </c>
      <c r="D79" s="42">
        <f>SUM(D70:D78)</f>
        <v>781.3</v>
      </c>
      <c r="E79" s="42">
        <f t="shared" ref="E79:O79" si="18">SUM(E70:E78)</f>
        <v>780.2</v>
      </c>
      <c r="F79" s="42">
        <f t="shared" si="18"/>
        <v>757.9</v>
      </c>
      <c r="G79" s="42">
        <f t="shared" si="18"/>
        <v>775.9</v>
      </c>
      <c r="H79" s="42">
        <f t="shared" si="18"/>
        <v>760.5</v>
      </c>
      <c r="I79" s="42">
        <f t="shared" si="18"/>
        <v>739.9</v>
      </c>
      <c r="J79" s="42">
        <f t="shared" si="18"/>
        <v>739.3</v>
      </c>
      <c r="K79" s="42">
        <f t="shared" si="18"/>
        <v>738.1</v>
      </c>
      <c r="L79" s="42">
        <f t="shared" si="18"/>
        <v>689.7</v>
      </c>
      <c r="M79" s="42">
        <f t="shared" si="18"/>
        <v>696.2</v>
      </c>
      <c r="N79" s="42">
        <f t="shared" si="18"/>
        <v>708.7</v>
      </c>
      <c r="O79" s="42">
        <f t="shared" si="18"/>
        <v>721</v>
      </c>
      <c r="P79" s="42">
        <f t="shared" si="17"/>
        <v>8888.7000000000007</v>
      </c>
      <c r="Q79" s="63"/>
    </row>
    <row r="80" spans="1:17" ht="15.5" x14ac:dyDescent="0.3">
      <c r="A80" s="72"/>
      <c r="B80" s="92"/>
      <c r="C80" s="2" t="s">
        <v>47</v>
      </c>
      <c r="D80" s="35">
        <f>AVERAGE(D70:D78)</f>
        <v>86.811111111111103</v>
      </c>
      <c r="E80" s="35">
        <f t="shared" ref="E80:O80" si="19">AVERAGE(E70:E78)</f>
        <v>86.688888888888897</v>
      </c>
      <c r="F80" s="35">
        <f t="shared" si="19"/>
        <v>84.211111111111109</v>
      </c>
      <c r="G80" s="35">
        <f t="shared" si="19"/>
        <v>86.211111111111109</v>
      </c>
      <c r="H80" s="35">
        <f t="shared" si="19"/>
        <v>84.5</v>
      </c>
      <c r="I80" s="35">
        <f t="shared" si="19"/>
        <v>82.211111111111109</v>
      </c>
      <c r="J80" s="35">
        <f t="shared" si="19"/>
        <v>82.144444444444446</v>
      </c>
      <c r="K80" s="35">
        <f t="shared" si="19"/>
        <v>82.01111111111112</v>
      </c>
      <c r="L80" s="35">
        <f t="shared" si="19"/>
        <v>76.63333333333334</v>
      </c>
      <c r="M80" s="35">
        <f t="shared" si="19"/>
        <v>77.355555555555554</v>
      </c>
      <c r="N80" s="35">
        <f t="shared" si="19"/>
        <v>78.744444444444454</v>
      </c>
      <c r="O80" s="35">
        <f t="shared" si="19"/>
        <v>80.111111111111114</v>
      </c>
      <c r="P80" s="42"/>
      <c r="Q80" s="63"/>
    </row>
    <row r="81" spans="1:17" ht="15.5" x14ac:dyDescent="0.3">
      <c r="A81" s="16"/>
      <c r="B81" s="16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55"/>
    </row>
    <row r="82" spans="1:17" ht="14.5" customHeight="1" x14ac:dyDescent="0.3"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5"/>
    </row>
    <row r="83" spans="1:17" x14ac:dyDescent="0.3">
      <c r="A83" s="3" t="s">
        <v>29</v>
      </c>
      <c r="B83" s="3" t="s">
        <v>35</v>
      </c>
      <c r="C83" s="70" t="s">
        <v>2</v>
      </c>
      <c r="D83" s="93" t="s">
        <v>3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5"/>
      <c r="P83" s="45"/>
      <c r="Q83" s="87" t="s">
        <v>47</v>
      </c>
    </row>
    <row r="84" spans="1:17" ht="15" customHeight="1" x14ac:dyDescent="0.3">
      <c r="A84" s="70">
        <v>6</v>
      </c>
      <c r="B84" s="90" t="s">
        <v>41</v>
      </c>
      <c r="C84" s="71"/>
      <c r="D84" s="93" t="s">
        <v>4</v>
      </c>
      <c r="E84" s="94"/>
      <c r="F84" s="94"/>
      <c r="G84" s="95"/>
      <c r="H84" s="93" t="s">
        <v>11</v>
      </c>
      <c r="I84" s="94"/>
      <c r="J84" s="94"/>
      <c r="K84" s="95"/>
      <c r="L84" s="93" t="s">
        <v>12</v>
      </c>
      <c r="M84" s="94"/>
      <c r="N84" s="94"/>
      <c r="O84" s="95"/>
      <c r="P84" s="46" t="s">
        <v>48</v>
      </c>
      <c r="Q84" s="88"/>
    </row>
    <row r="85" spans="1:17" x14ac:dyDescent="0.3">
      <c r="A85" s="71"/>
      <c r="B85" s="91"/>
      <c r="C85" s="72"/>
      <c r="D85" s="47" t="s">
        <v>5</v>
      </c>
      <c r="E85" s="47" t="s">
        <v>7</v>
      </c>
      <c r="F85" s="47" t="s">
        <v>8</v>
      </c>
      <c r="G85" s="47" t="s">
        <v>10</v>
      </c>
      <c r="H85" s="47" t="s">
        <v>5</v>
      </c>
      <c r="I85" s="47" t="s">
        <v>7</v>
      </c>
      <c r="J85" s="47" t="s">
        <v>8</v>
      </c>
      <c r="K85" s="47" t="s">
        <v>10</v>
      </c>
      <c r="L85" s="47" t="s">
        <v>5</v>
      </c>
      <c r="M85" s="47" t="s">
        <v>7</v>
      </c>
      <c r="N85" s="47" t="s">
        <v>8</v>
      </c>
      <c r="O85" s="47" t="s">
        <v>10</v>
      </c>
      <c r="P85" s="48"/>
      <c r="Q85" s="89"/>
    </row>
    <row r="86" spans="1:17" ht="15.5" x14ac:dyDescent="0.3">
      <c r="A86" s="71"/>
      <c r="B86" s="91"/>
      <c r="C86" s="2" t="s">
        <v>13</v>
      </c>
      <c r="D86" s="42">
        <v>91</v>
      </c>
      <c r="E86" s="42">
        <v>89</v>
      </c>
      <c r="F86" s="42">
        <v>87</v>
      </c>
      <c r="G86" s="42">
        <v>91</v>
      </c>
      <c r="H86" s="42">
        <v>78</v>
      </c>
      <c r="I86" s="42">
        <v>87</v>
      </c>
      <c r="J86" s="42">
        <v>78</v>
      </c>
      <c r="K86" s="42">
        <v>86.5</v>
      </c>
      <c r="L86" s="42">
        <v>85</v>
      </c>
      <c r="M86" s="42">
        <v>83</v>
      </c>
      <c r="N86" s="42">
        <v>79</v>
      </c>
      <c r="O86" s="42">
        <v>94.4</v>
      </c>
      <c r="P86" s="42">
        <f>SUM(D86:O86)</f>
        <v>1028.9000000000001</v>
      </c>
      <c r="Q86" s="63">
        <f>AVERAGE(D86:O86)</f>
        <v>85.741666666666674</v>
      </c>
    </row>
    <row r="87" spans="1:17" ht="15.5" x14ac:dyDescent="0.3">
      <c r="A87" s="71"/>
      <c r="B87" s="91"/>
      <c r="C87" s="2" t="s">
        <v>14</v>
      </c>
      <c r="D87" s="43">
        <v>90</v>
      </c>
      <c r="E87" s="43">
        <v>87</v>
      </c>
      <c r="F87" s="43">
        <v>88</v>
      </c>
      <c r="G87" s="43">
        <v>89</v>
      </c>
      <c r="H87" s="43">
        <v>89</v>
      </c>
      <c r="I87" s="43">
        <v>90</v>
      </c>
      <c r="J87" s="43">
        <v>89</v>
      </c>
      <c r="K87" s="43">
        <v>87</v>
      </c>
      <c r="L87" s="43">
        <v>88</v>
      </c>
      <c r="M87" s="43">
        <v>89</v>
      </c>
      <c r="N87" s="43">
        <v>91</v>
      </c>
      <c r="O87" s="43">
        <v>89</v>
      </c>
      <c r="P87" s="42">
        <f t="shared" ref="P87:P95" si="20">SUM(D87:O87)</f>
        <v>1066</v>
      </c>
      <c r="Q87" s="63">
        <f t="shared" ref="Q87:Q93" si="21">AVERAGE(D87:O87)</f>
        <v>88.833333333333329</v>
      </c>
    </row>
    <row r="88" spans="1:17" ht="15.5" x14ac:dyDescent="0.3">
      <c r="A88" s="71"/>
      <c r="B88" s="91"/>
      <c r="C88" s="2" t="s">
        <v>15</v>
      </c>
      <c r="D88" s="43">
        <v>88</v>
      </c>
      <c r="E88" s="43">
        <v>89</v>
      </c>
      <c r="F88" s="43">
        <v>87</v>
      </c>
      <c r="G88" s="43">
        <v>88</v>
      </c>
      <c r="H88" s="43">
        <v>91</v>
      </c>
      <c r="I88" s="43">
        <v>87</v>
      </c>
      <c r="J88" s="43">
        <v>89</v>
      </c>
      <c r="K88" s="43">
        <v>88</v>
      </c>
      <c r="L88" s="43">
        <v>87</v>
      </c>
      <c r="M88" s="43">
        <v>89</v>
      </c>
      <c r="N88" s="43">
        <v>90</v>
      </c>
      <c r="O88" s="43">
        <v>89</v>
      </c>
      <c r="P88" s="42">
        <f t="shared" si="20"/>
        <v>1062</v>
      </c>
      <c r="Q88" s="63">
        <f t="shared" si="21"/>
        <v>88.5</v>
      </c>
    </row>
    <row r="89" spans="1:17" ht="16" customHeight="1" x14ac:dyDescent="0.3">
      <c r="A89" s="71"/>
      <c r="B89" s="91"/>
      <c r="C89" s="2" t="s">
        <v>16</v>
      </c>
      <c r="D89" s="42">
        <v>111</v>
      </c>
      <c r="E89" s="42">
        <v>110.3</v>
      </c>
      <c r="F89" s="42">
        <v>97.4</v>
      </c>
      <c r="G89" s="42">
        <v>104.5</v>
      </c>
      <c r="H89" s="42">
        <v>99.4</v>
      </c>
      <c r="I89" s="42">
        <v>105.5</v>
      </c>
      <c r="J89" s="42">
        <v>100</v>
      </c>
      <c r="K89" s="42">
        <v>102.8</v>
      </c>
      <c r="L89" s="42">
        <v>108</v>
      </c>
      <c r="M89" s="42">
        <v>114.5</v>
      </c>
      <c r="N89" s="42">
        <v>115</v>
      </c>
      <c r="O89" s="42">
        <v>109.1</v>
      </c>
      <c r="P89" s="42">
        <f t="shared" si="20"/>
        <v>1277.5</v>
      </c>
      <c r="Q89" s="63">
        <f t="shared" si="21"/>
        <v>106.45833333333333</v>
      </c>
    </row>
    <row r="90" spans="1:17" ht="15.5" x14ac:dyDescent="0.3">
      <c r="A90" s="71"/>
      <c r="B90" s="91"/>
      <c r="C90" s="2" t="s">
        <v>17</v>
      </c>
      <c r="D90" s="42">
        <v>105</v>
      </c>
      <c r="E90" s="42">
        <v>104.3</v>
      </c>
      <c r="F90" s="42">
        <v>107.5</v>
      </c>
      <c r="G90" s="42">
        <v>102.8</v>
      </c>
      <c r="H90" s="42">
        <v>100.1</v>
      </c>
      <c r="I90" s="42">
        <v>97.2</v>
      </c>
      <c r="J90" s="42">
        <v>103.1</v>
      </c>
      <c r="K90" s="42">
        <v>98</v>
      </c>
      <c r="L90" s="42">
        <v>76</v>
      </c>
      <c r="M90" s="42">
        <v>82.2</v>
      </c>
      <c r="N90" s="42">
        <v>72.3</v>
      </c>
      <c r="O90" s="42">
        <v>80</v>
      </c>
      <c r="P90" s="42">
        <f t="shared" si="20"/>
        <v>1128.5000000000002</v>
      </c>
      <c r="Q90" s="63">
        <f t="shared" si="21"/>
        <v>94.041666666666686</v>
      </c>
    </row>
    <row r="91" spans="1:17" ht="15.5" x14ac:dyDescent="0.3">
      <c r="A91" s="71"/>
      <c r="B91" s="91"/>
      <c r="C91" s="2" t="s">
        <v>18</v>
      </c>
      <c r="D91" s="42">
        <v>96.8</v>
      </c>
      <c r="E91" s="42">
        <v>113</v>
      </c>
      <c r="F91" s="42">
        <v>101</v>
      </c>
      <c r="G91" s="42">
        <v>11.8</v>
      </c>
      <c r="H91" s="42">
        <v>76</v>
      </c>
      <c r="I91" s="42">
        <v>82.2</v>
      </c>
      <c r="J91" s="42">
        <v>72.3</v>
      </c>
      <c r="K91" s="42">
        <v>80</v>
      </c>
      <c r="L91" s="42">
        <v>91.5</v>
      </c>
      <c r="M91" s="42">
        <v>81.599999999999994</v>
      </c>
      <c r="N91" s="42">
        <v>89.8</v>
      </c>
      <c r="O91" s="42">
        <v>83.7</v>
      </c>
      <c r="P91" s="42">
        <f t="shared" si="20"/>
        <v>979.7</v>
      </c>
      <c r="Q91" s="63">
        <f t="shared" si="21"/>
        <v>81.641666666666666</v>
      </c>
    </row>
    <row r="92" spans="1:17" ht="15.5" x14ac:dyDescent="0.3">
      <c r="A92" s="71"/>
      <c r="B92" s="91"/>
      <c r="C92" s="2" t="s">
        <v>19</v>
      </c>
      <c r="D92" s="42">
        <v>119</v>
      </c>
      <c r="E92" s="42">
        <v>103</v>
      </c>
      <c r="F92" s="42">
        <v>109</v>
      </c>
      <c r="G92" s="42">
        <v>120</v>
      </c>
      <c r="H92" s="42">
        <v>95</v>
      </c>
      <c r="I92" s="42">
        <v>100</v>
      </c>
      <c r="J92" s="42">
        <v>103</v>
      </c>
      <c r="K92" s="42">
        <v>103</v>
      </c>
      <c r="L92" s="42">
        <v>91</v>
      </c>
      <c r="M92" s="42">
        <v>71.5</v>
      </c>
      <c r="N92" s="42">
        <v>77</v>
      </c>
      <c r="O92" s="42">
        <v>73.400000000000006</v>
      </c>
      <c r="P92" s="42">
        <f t="shared" si="20"/>
        <v>1164.9000000000001</v>
      </c>
      <c r="Q92" s="63">
        <f t="shared" si="21"/>
        <v>97.075000000000003</v>
      </c>
    </row>
    <row r="93" spans="1:17" ht="15.5" x14ac:dyDescent="0.3">
      <c r="A93" s="71"/>
      <c r="B93" s="91"/>
      <c r="C93" s="2" t="s">
        <v>20</v>
      </c>
      <c r="D93" s="42">
        <v>119</v>
      </c>
      <c r="E93" s="42">
        <v>107</v>
      </c>
      <c r="F93" s="42">
        <v>110</v>
      </c>
      <c r="G93" s="42">
        <v>113</v>
      </c>
      <c r="H93" s="42">
        <v>104</v>
      </c>
      <c r="I93" s="42">
        <v>107</v>
      </c>
      <c r="J93" s="42">
        <v>110</v>
      </c>
      <c r="K93" s="42">
        <v>113</v>
      </c>
      <c r="L93" s="42">
        <v>90</v>
      </c>
      <c r="M93" s="42">
        <v>91.5</v>
      </c>
      <c r="N93" s="42">
        <v>91</v>
      </c>
      <c r="O93" s="42">
        <v>93</v>
      </c>
      <c r="P93" s="42">
        <f t="shared" si="20"/>
        <v>1248.5</v>
      </c>
      <c r="Q93" s="63">
        <f t="shared" si="21"/>
        <v>104.04166666666667</v>
      </c>
    </row>
    <row r="94" spans="1:17" ht="15.5" x14ac:dyDescent="0.3">
      <c r="A94" s="71"/>
      <c r="B94" s="91"/>
      <c r="C94" s="2" t="s">
        <v>21</v>
      </c>
      <c r="D94" s="42">
        <v>97</v>
      </c>
      <c r="E94" s="42">
        <v>108</v>
      </c>
      <c r="F94" s="42">
        <v>99</v>
      </c>
      <c r="G94" s="42">
        <v>101</v>
      </c>
      <c r="H94" s="42">
        <v>104</v>
      </c>
      <c r="I94" s="42">
        <v>102</v>
      </c>
      <c r="J94" s="42">
        <v>97</v>
      </c>
      <c r="K94" s="42">
        <v>101</v>
      </c>
      <c r="L94" s="42">
        <v>92</v>
      </c>
      <c r="M94" s="42">
        <v>88.5</v>
      </c>
      <c r="N94" s="42">
        <v>81.400000000000006</v>
      </c>
      <c r="O94" s="42">
        <v>83</v>
      </c>
      <c r="P94" s="42">
        <f t="shared" si="20"/>
        <v>1153.9000000000001</v>
      </c>
      <c r="Q94" s="63">
        <f>AVERAGE(D94:O94)</f>
        <v>96.158333333333346</v>
      </c>
    </row>
    <row r="95" spans="1:17" ht="15.5" x14ac:dyDescent="0.3">
      <c r="A95" s="71"/>
      <c r="B95" s="91"/>
      <c r="C95" s="2" t="s">
        <v>48</v>
      </c>
      <c r="D95" s="42">
        <f>SUM(D86:D94)</f>
        <v>916.8</v>
      </c>
      <c r="E95" s="42">
        <f t="shared" ref="E95:O95" si="22">SUM(E86:E94)</f>
        <v>910.6</v>
      </c>
      <c r="F95" s="42">
        <f t="shared" si="22"/>
        <v>885.9</v>
      </c>
      <c r="G95" s="42">
        <f t="shared" si="22"/>
        <v>821.1</v>
      </c>
      <c r="H95" s="42">
        <f t="shared" si="22"/>
        <v>836.5</v>
      </c>
      <c r="I95" s="42">
        <f t="shared" si="22"/>
        <v>857.9</v>
      </c>
      <c r="J95" s="42">
        <f t="shared" si="22"/>
        <v>841.4</v>
      </c>
      <c r="K95" s="42">
        <f t="shared" si="22"/>
        <v>859.3</v>
      </c>
      <c r="L95" s="42">
        <f t="shared" si="22"/>
        <v>808.5</v>
      </c>
      <c r="M95" s="42">
        <f t="shared" si="22"/>
        <v>790.8</v>
      </c>
      <c r="N95" s="42">
        <f t="shared" si="22"/>
        <v>786.5</v>
      </c>
      <c r="O95" s="42">
        <f t="shared" si="22"/>
        <v>794.6</v>
      </c>
      <c r="P95" s="42">
        <f t="shared" si="20"/>
        <v>10109.9</v>
      </c>
      <c r="Q95" s="63"/>
    </row>
    <row r="96" spans="1:17" ht="15.5" x14ac:dyDescent="0.3">
      <c r="A96" s="72"/>
      <c r="B96" s="92"/>
      <c r="C96" s="2" t="s">
        <v>47</v>
      </c>
      <c r="D96" s="35">
        <f>AVERAGE(D86:D94)</f>
        <v>101.86666666666666</v>
      </c>
      <c r="E96" s="35">
        <f t="shared" ref="E96:O96" si="23">AVERAGE(E86:E94)</f>
        <v>101.17777777777778</v>
      </c>
      <c r="F96" s="35">
        <f t="shared" si="23"/>
        <v>98.433333333333337</v>
      </c>
      <c r="G96" s="35">
        <f t="shared" si="23"/>
        <v>91.233333333333334</v>
      </c>
      <c r="H96" s="35">
        <f t="shared" si="23"/>
        <v>92.944444444444443</v>
      </c>
      <c r="I96" s="35">
        <f t="shared" si="23"/>
        <v>95.322222222222223</v>
      </c>
      <c r="J96" s="35">
        <f t="shared" si="23"/>
        <v>93.48888888888888</v>
      </c>
      <c r="K96" s="35">
        <f t="shared" si="23"/>
        <v>95.477777777777774</v>
      </c>
      <c r="L96" s="35">
        <f t="shared" si="23"/>
        <v>89.833333333333329</v>
      </c>
      <c r="M96" s="35">
        <f t="shared" si="23"/>
        <v>87.86666666666666</v>
      </c>
      <c r="N96" s="35">
        <f t="shared" si="23"/>
        <v>87.388888888888886</v>
      </c>
      <c r="O96" s="35">
        <f t="shared" si="23"/>
        <v>88.288888888888891</v>
      </c>
      <c r="P96" s="42"/>
      <c r="Q96" s="63"/>
    </row>
    <row r="97" spans="1:17" ht="15.5" x14ac:dyDescent="0.3">
      <c r="A97" s="16"/>
      <c r="B97" s="16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55"/>
    </row>
    <row r="98" spans="1:17" ht="14.5" customHeight="1" x14ac:dyDescent="0.3"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5"/>
    </row>
    <row r="99" spans="1:17" x14ac:dyDescent="0.3">
      <c r="A99" s="3" t="s">
        <v>29</v>
      </c>
      <c r="B99" s="3" t="s">
        <v>35</v>
      </c>
      <c r="C99" s="70" t="s">
        <v>2</v>
      </c>
      <c r="D99" s="93" t="s">
        <v>3</v>
      </c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5"/>
      <c r="P99" s="45"/>
      <c r="Q99" s="87" t="s">
        <v>47</v>
      </c>
    </row>
    <row r="100" spans="1:17" ht="15.5" customHeight="1" x14ac:dyDescent="0.3">
      <c r="A100" s="70">
        <v>7</v>
      </c>
      <c r="B100" s="90" t="s">
        <v>42</v>
      </c>
      <c r="C100" s="71"/>
      <c r="D100" s="93" t="s">
        <v>4</v>
      </c>
      <c r="E100" s="94"/>
      <c r="F100" s="94"/>
      <c r="G100" s="95"/>
      <c r="H100" s="93" t="s">
        <v>11</v>
      </c>
      <c r="I100" s="94"/>
      <c r="J100" s="94"/>
      <c r="K100" s="95"/>
      <c r="L100" s="93" t="s">
        <v>12</v>
      </c>
      <c r="M100" s="94"/>
      <c r="N100" s="94"/>
      <c r="O100" s="95"/>
      <c r="P100" s="46" t="s">
        <v>48</v>
      </c>
      <c r="Q100" s="88"/>
    </row>
    <row r="101" spans="1:17" x14ac:dyDescent="0.3">
      <c r="A101" s="71"/>
      <c r="B101" s="91"/>
      <c r="C101" s="72"/>
      <c r="D101" s="47" t="s">
        <v>5</v>
      </c>
      <c r="E101" s="47" t="s">
        <v>7</v>
      </c>
      <c r="F101" s="47" t="s">
        <v>8</v>
      </c>
      <c r="G101" s="47" t="s">
        <v>10</v>
      </c>
      <c r="H101" s="47" t="s">
        <v>5</v>
      </c>
      <c r="I101" s="47" t="s">
        <v>7</v>
      </c>
      <c r="J101" s="47" t="s">
        <v>8</v>
      </c>
      <c r="K101" s="47" t="s">
        <v>10</v>
      </c>
      <c r="L101" s="47" t="s">
        <v>5</v>
      </c>
      <c r="M101" s="47" t="s">
        <v>7</v>
      </c>
      <c r="N101" s="47" t="s">
        <v>8</v>
      </c>
      <c r="O101" s="47" t="s">
        <v>10</v>
      </c>
      <c r="P101" s="48"/>
      <c r="Q101" s="89"/>
    </row>
    <row r="102" spans="1:17" ht="15.5" x14ac:dyDescent="0.3">
      <c r="A102" s="71"/>
      <c r="B102" s="91"/>
      <c r="C102" s="2" t="s">
        <v>13</v>
      </c>
      <c r="D102" s="42">
        <v>94</v>
      </c>
      <c r="E102" s="42">
        <v>99.5</v>
      </c>
      <c r="F102" s="42">
        <v>95</v>
      </c>
      <c r="G102" s="42">
        <v>107</v>
      </c>
      <c r="H102" s="42">
        <v>84</v>
      </c>
      <c r="I102" s="42">
        <v>91</v>
      </c>
      <c r="J102" s="42">
        <v>84</v>
      </c>
      <c r="K102" s="42">
        <v>91</v>
      </c>
      <c r="L102" s="42">
        <v>87</v>
      </c>
      <c r="M102" s="42">
        <v>90</v>
      </c>
      <c r="N102" s="42">
        <v>82</v>
      </c>
      <c r="O102" s="42">
        <v>97</v>
      </c>
      <c r="P102" s="42">
        <f>SUM(D102:O102)</f>
        <v>1101.5</v>
      </c>
      <c r="Q102" s="63">
        <f t="shared" ref="Q102:Q110" si="24">AVERAGE(D102:O102)</f>
        <v>91.791666666666671</v>
      </c>
    </row>
    <row r="103" spans="1:17" ht="15.5" x14ac:dyDescent="0.3">
      <c r="A103" s="71"/>
      <c r="B103" s="91"/>
      <c r="C103" s="2" t="s">
        <v>14</v>
      </c>
      <c r="D103" s="43">
        <v>99</v>
      </c>
      <c r="E103" s="43">
        <v>98</v>
      </c>
      <c r="F103" s="43">
        <v>96</v>
      </c>
      <c r="G103" s="43">
        <v>97</v>
      </c>
      <c r="H103" s="43">
        <v>95</v>
      </c>
      <c r="I103" s="43">
        <v>96</v>
      </c>
      <c r="J103" s="43">
        <v>98</v>
      </c>
      <c r="K103" s="43">
        <v>99</v>
      </c>
      <c r="L103" s="43">
        <v>97</v>
      </c>
      <c r="M103" s="43">
        <v>99</v>
      </c>
      <c r="N103" s="43">
        <v>98</v>
      </c>
      <c r="O103" s="43">
        <v>97</v>
      </c>
      <c r="P103" s="42">
        <f t="shared" ref="P103:P110" si="25">SUM(D103:O103)</f>
        <v>1169</v>
      </c>
      <c r="Q103" s="63">
        <f t="shared" si="24"/>
        <v>97.416666666666671</v>
      </c>
    </row>
    <row r="104" spans="1:17" ht="15.5" x14ac:dyDescent="0.3">
      <c r="A104" s="71"/>
      <c r="B104" s="91"/>
      <c r="C104" s="2" t="s">
        <v>15</v>
      </c>
      <c r="D104" s="43">
        <v>98</v>
      </c>
      <c r="E104" s="43">
        <v>97</v>
      </c>
      <c r="F104" s="43">
        <v>96</v>
      </c>
      <c r="G104" s="43">
        <v>99</v>
      </c>
      <c r="H104" s="43">
        <v>98</v>
      </c>
      <c r="I104" s="43">
        <v>97</v>
      </c>
      <c r="J104" s="43">
        <v>96</v>
      </c>
      <c r="K104" s="43">
        <v>96</v>
      </c>
      <c r="L104" s="43">
        <v>97</v>
      </c>
      <c r="M104" s="43">
        <v>98</v>
      </c>
      <c r="N104" s="43">
        <v>97</v>
      </c>
      <c r="O104" s="43">
        <v>96</v>
      </c>
      <c r="P104" s="42">
        <f t="shared" si="25"/>
        <v>1165</v>
      </c>
      <c r="Q104" s="63">
        <f t="shared" si="24"/>
        <v>97.083333333333329</v>
      </c>
    </row>
    <row r="105" spans="1:17" ht="15.5" x14ac:dyDescent="0.3">
      <c r="A105" s="71"/>
      <c r="B105" s="91"/>
      <c r="C105" s="2" t="s">
        <v>16</v>
      </c>
      <c r="D105" s="42">
        <v>112.9</v>
      </c>
      <c r="E105" s="42">
        <v>111</v>
      </c>
      <c r="F105" s="42">
        <v>99.2</v>
      </c>
      <c r="G105" s="42">
        <v>105.1</v>
      </c>
      <c r="H105" s="42">
        <v>100.7</v>
      </c>
      <c r="I105" s="42">
        <v>107.9</v>
      </c>
      <c r="J105" s="42">
        <v>103.1</v>
      </c>
      <c r="K105" s="42">
        <v>104.3</v>
      </c>
      <c r="L105" s="42">
        <v>91.7</v>
      </c>
      <c r="M105" s="42">
        <v>95.5</v>
      </c>
      <c r="N105" s="42">
        <v>94</v>
      </c>
      <c r="O105" s="42">
        <v>98</v>
      </c>
      <c r="P105" s="42">
        <f t="shared" si="25"/>
        <v>1223.4000000000001</v>
      </c>
      <c r="Q105" s="63">
        <f t="shared" si="24"/>
        <v>101.95</v>
      </c>
    </row>
    <row r="106" spans="1:17" ht="17" customHeight="1" x14ac:dyDescent="0.3">
      <c r="A106" s="71"/>
      <c r="B106" s="91"/>
      <c r="C106" s="2" t="s">
        <v>17</v>
      </c>
      <c r="D106" s="42">
        <v>106</v>
      </c>
      <c r="E106" s="42">
        <v>105.4</v>
      </c>
      <c r="F106" s="42">
        <v>109.1</v>
      </c>
      <c r="G106" s="42">
        <v>103.2</v>
      </c>
      <c r="H106" s="42">
        <v>102.7</v>
      </c>
      <c r="I106" s="42">
        <v>100</v>
      </c>
      <c r="J106" s="42">
        <v>105.4</v>
      </c>
      <c r="K106" s="42">
        <v>101</v>
      </c>
      <c r="L106" s="42">
        <v>79.8</v>
      </c>
      <c r="M106" s="42">
        <v>87.2</v>
      </c>
      <c r="N106" s="42">
        <v>75.5</v>
      </c>
      <c r="O106" s="42">
        <v>78.8</v>
      </c>
      <c r="P106" s="42">
        <f t="shared" si="25"/>
        <v>1154.0999999999999</v>
      </c>
      <c r="Q106" s="63">
        <f t="shared" si="24"/>
        <v>96.174999999999997</v>
      </c>
    </row>
    <row r="107" spans="1:17" ht="15.5" x14ac:dyDescent="0.3">
      <c r="A107" s="71"/>
      <c r="B107" s="91"/>
      <c r="C107" s="2" t="s">
        <v>18</v>
      </c>
      <c r="D107" s="42">
        <v>99.1</v>
      </c>
      <c r="E107" s="42">
        <v>113</v>
      </c>
      <c r="F107" s="42">
        <v>101</v>
      </c>
      <c r="G107" s="42">
        <v>111.8</v>
      </c>
      <c r="H107" s="42">
        <v>117</v>
      </c>
      <c r="I107" s="42">
        <v>112.1</v>
      </c>
      <c r="J107" s="42">
        <v>112.5</v>
      </c>
      <c r="K107" s="42">
        <v>114.6</v>
      </c>
      <c r="L107" s="42">
        <v>106</v>
      </c>
      <c r="M107" s="42">
        <v>90.6</v>
      </c>
      <c r="N107" s="42">
        <v>85.5</v>
      </c>
      <c r="O107" s="42">
        <v>94</v>
      </c>
      <c r="P107" s="42">
        <f t="shared" si="25"/>
        <v>1257.2</v>
      </c>
      <c r="Q107" s="63">
        <f t="shared" si="24"/>
        <v>104.76666666666667</v>
      </c>
    </row>
    <row r="108" spans="1:17" ht="15.5" x14ac:dyDescent="0.3">
      <c r="A108" s="71"/>
      <c r="B108" s="91"/>
      <c r="C108" s="2" t="s">
        <v>19</v>
      </c>
      <c r="D108" s="42">
        <v>114</v>
      </c>
      <c r="E108" s="42">
        <v>117.6</v>
      </c>
      <c r="F108" s="42">
        <v>121.8</v>
      </c>
      <c r="G108" s="42">
        <v>126</v>
      </c>
      <c r="H108" s="42">
        <v>97</v>
      </c>
      <c r="I108" s="42">
        <v>103</v>
      </c>
      <c r="J108" s="42">
        <v>109.7</v>
      </c>
      <c r="K108" s="42">
        <v>105.5</v>
      </c>
      <c r="L108" s="42">
        <v>99</v>
      </c>
      <c r="M108" s="42">
        <v>89</v>
      </c>
      <c r="N108" s="42">
        <v>103</v>
      </c>
      <c r="O108" s="42">
        <v>93</v>
      </c>
      <c r="P108" s="42">
        <f t="shared" si="25"/>
        <v>1278.5999999999999</v>
      </c>
      <c r="Q108" s="63">
        <f t="shared" si="24"/>
        <v>106.55</v>
      </c>
    </row>
    <row r="109" spans="1:17" ht="15.5" x14ac:dyDescent="0.3">
      <c r="A109" s="71"/>
      <c r="B109" s="91"/>
      <c r="C109" s="2" t="s">
        <v>20</v>
      </c>
      <c r="D109" s="42">
        <v>118</v>
      </c>
      <c r="E109" s="42">
        <v>120.5</v>
      </c>
      <c r="F109" s="42">
        <v>124.4</v>
      </c>
      <c r="G109" s="42">
        <v>126</v>
      </c>
      <c r="H109" s="42">
        <v>110</v>
      </c>
      <c r="I109" s="42">
        <v>111</v>
      </c>
      <c r="J109" s="42">
        <v>114</v>
      </c>
      <c r="K109" s="42">
        <v>117</v>
      </c>
      <c r="L109" s="42">
        <v>93</v>
      </c>
      <c r="M109" s="42">
        <v>98</v>
      </c>
      <c r="N109" s="42">
        <v>100</v>
      </c>
      <c r="O109" s="42">
        <v>99.5</v>
      </c>
      <c r="P109" s="42">
        <f t="shared" si="25"/>
        <v>1331.4</v>
      </c>
      <c r="Q109" s="63">
        <f t="shared" si="24"/>
        <v>110.95</v>
      </c>
    </row>
    <row r="110" spans="1:17" ht="15.5" x14ac:dyDescent="0.3">
      <c r="A110" s="71"/>
      <c r="B110" s="91"/>
      <c r="C110" s="2" t="s">
        <v>21</v>
      </c>
      <c r="D110" s="42">
        <v>102.5</v>
      </c>
      <c r="E110" s="42">
        <v>112.3</v>
      </c>
      <c r="F110" s="42">
        <v>108</v>
      </c>
      <c r="G110" s="42">
        <v>109</v>
      </c>
      <c r="H110" s="42">
        <v>110</v>
      </c>
      <c r="I110" s="42">
        <v>102</v>
      </c>
      <c r="J110" s="42">
        <v>97</v>
      </c>
      <c r="K110" s="42">
        <v>101</v>
      </c>
      <c r="L110" s="42">
        <v>97</v>
      </c>
      <c r="M110" s="42">
        <v>98</v>
      </c>
      <c r="N110" s="42">
        <v>89</v>
      </c>
      <c r="O110" s="42">
        <v>93</v>
      </c>
      <c r="P110" s="42">
        <f t="shared" si="25"/>
        <v>1218.8</v>
      </c>
      <c r="Q110" s="63">
        <f t="shared" si="24"/>
        <v>101.56666666666666</v>
      </c>
    </row>
    <row r="111" spans="1:17" ht="15.5" x14ac:dyDescent="0.3">
      <c r="A111" s="71"/>
      <c r="B111" s="91"/>
      <c r="C111" s="2" t="s">
        <v>48</v>
      </c>
      <c r="D111" s="42">
        <f>SUM(D102:D110)</f>
        <v>943.5</v>
      </c>
      <c r="E111" s="42">
        <f t="shared" ref="E111:O111" si="26">SUM(E102:E110)</f>
        <v>974.3</v>
      </c>
      <c r="F111" s="42">
        <f t="shared" si="26"/>
        <v>950.49999999999989</v>
      </c>
      <c r="G111" s="42">
        <f t="shared" si="26"/>
        <v>984.1</v>
      </c>
      <c r="H111" s="42">
        <f t="shared" si="26"/>
        <v>914.4</v>
      </c>
      <c r="I111" s="42">
        <f t="shared" si="26"/>
        <v>920</v>
      </c>
      <c r="J111" s="42">
        <f t="shared" si="26"/>
        <v>919.7</v>
      </c>
      <c r="K111" s="42">
        <f t="shared" si="26"/>
        <v>929.4</v>
      </c>
      <c r="L111" s="42">
        <f t="shared" si="26"/>
        <v>847.5</v>
      </c>
      <c r="M111" s="42">
        <f t="shared" si="26"/>
        <v>845.3</v>
      </c>
      <c r="N111" s="42">
        <f t="shared" si="26"/>
        <v>824</v>
      </c>
      <c r="O111" s="42">
        <f t="shared" si="26"/>
        <v>846.3</v>
      </c>
      <c r="P111" s="42">
        <f>SUM(D111:O111)</f>
        <v>10898.999999999996</v>
      </c>
      <c r="Q111" s="63"/>
    </row>
    <row r="112" spans="1:17" ht="15.5" x14ac:dyDescent="0.3">
      <c r="A112" s="72"/>
      <c r="B112" s="92"/>
      <c r="C112" s="2" t="s">
        <v>47</v>
      </c>
      <c r="D112" s="35">
        <f>AVERAGE(D102:D110)</f>
        <v>104.83333333333333</v>
      </c>
      <c r="E112" s="35">
        <f t="shared" ref="E112:O112" si="27">AVERAGE(E102:E110)</f>
        <v>108.25555555555555</v>
      </c>
      <c r="F112" s="35">
        <f t="shared" si="27"/>
        <v>105.6111111111111</v>
      </c>
      <c r="G112" s="35">
        <f t="shared" si="27"/>
        <v>109.34444444444445</v>
      </c>
      <c r="H112" s="35">
        <f t="shared" si="27"/>
        <v>101.6</v>
      </c>
      <c r="I112" s="35">
        <f t="shared" si="27"/>
        <v>102.22222222222223</v>
      </c>
      <c r="J112" s="35">
        <f t="shared" si="27"/>
        <v>102.1888888888889</v>
      </c>
      <c r="K112" s="35">
        <f t="shared" si="27"/>
        <v>103.26666666666667</v>
      </c>
      <c r="L112" s="35">
        <f t="shared" si="27"/>
        <v>94.166666666666671</v>
      </c>
      <c r="M112" s="35">
        <f t="shared" si="27"/>
        <v>93.922222222222217</v>
      </c>
      <c r="N112" s="35">
        <f t="shared" si="27"/>
        <v>91.555555555555557</v>
      </c>
      <c r="O112" s="35">
        <f t="shared" si="27"/>
        <v>94.033333333333331</v>
      </c>
      <c r="P112" s="42"/>
      <c r="Q112" s="63"/>
    </row>
    <row r="113" spans="1:17" ht="15.5" x14ac:dyDescent="0.3">
      <c r="A113" s="16"/>
      <c r="B113" s="16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55"/>
    </row>
    <row r="114" spans="1:17" ht="14.5" customHeight="1" x14ac:dyDescent="0.3"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5"/>
    </row>
    <row r="115" spans="1:17" x14ac:dyDescent="0.3">
      <c r="A115" s="3" t="s">
        <v>29</v>
      </c>
      <c r="B115" s="3" t="s">
        <v>35</v>
      </c>
      <c r="C115" s="70" t="s">
        <v>2</v>
      </c>
      <c r="D115" s="93" t="s">
        <v>3</v>
      </c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5"/>
      <c r="P115" s="45"/>
      <c r="Q115" s="87" t="s">
        <v>47</v>
      </c>
    </row>
    <row r="116" spans="1:17" ht="15.5" customHeight="1" x14ac:dyDescent="0.3">
      <c r="A116" s="70">
        <v>8</v>
      </c>
      <c r="B116" s="90" t="s">
        <v>43</v>
      </c>
      <c r="C116" s="71"/>
      <c r="D116" s="93" t="s">
        <v>4</v>
      </c>
      <c r="E116" s="94"/>
      <c r="F116" s="94"/>
      <c r="G116" s="95"/>
      <c r="H116" s="93" t="s">
        <v>11</v>
      </c>
      <c r="I116" s="94"/>
      <c r="J116" s="94"/>
      <c r="K116" s="95"/>
      <c r="L116" s="93" t="s">
        <v>12</v>
      </c>
      <c r="M116" s="94"/>
      <c r="N116" s="94"/>
      <c r="O116" s="95"/>
      <c r="P116" s="46" t="s">
        <v>48</v>
      </c>
      <c r="Q116" s="88"/>
    </row>
    <row r="117" spans="1:17" x14ac:dyDescent="0.3">
      <c r="A117" s="71"/>
      <c r="B117" s="91"/>
      <c r="C117" s="72"/>
      <c r="D117" s="47" t="s">
        <v>5</v>
      </c>
      <c r="E117" s="47" t="s">
        <v>7</v>
      </c>
      <c r="F117" s="47" t="s">
        <v>8</v>
      </c>
      <c r="G117" s="47" t="s">
        <v>10</v>
      </c>
      <c r="H117" s="47" t="s">
        <v>5</v>
      </c>
      <c r="I117" s="47" t="s">
        <v>7</v>
      </c>
      <c r="J117" s="47" t="s">
        <v>8</v>
      </c>
      <c r="K117" s="47" t="s">
        <v>10</v>
      </c>
      <c r="L117" s="47" t="s">
        <v>5</v>
      </c>
      <c r="M117" s="47" t="s">
        <v>7</v>
      </c>
      <c r="N117" s="47" t="s">
        <v>8</v>
      </c>
      <c r="O117" s="47" t="s">
        <v>10</v>
      </c>
      <c r="P117" s="48"/>
      <c r="Q117" s="89"/>
    </row>
    <row r="118" spans="1:17" ht="15.5" x14ac:dyDescent="0.3">
      <c r="A118" s="71"/>
      <c r="B118" s="91"/>
      <c r="C118" s="2" t="s">
        <v>13</v>
      </c>
      <c r="D118" s="42">
        <v>106</v>
      </c>
      <c r="E118" s="42">
        <v>111</v>
      </c>
      <c r="F118" s="42">
        <v>102</v>
      </c>
      <c r="G118" s="42">
        <v>110.7</v>
      </c>
      <c r="H118" s="42">
        <v>90</v>
      </c>
      <c r="I118" s="42">
        <v>97.6</v>
      </c>
      <c r="J118" s="42">
        <v>91</v>
      </c>
      <c r="K118" s="42">
        <v>98.3</v>
      </c>
      <c r="L118" s="42">
        <v>92</v>
      </c>
      <c r="M118" s="42">
        <v>96</v>
      </c>
      <c r="N118" s="42">
        <v>95.7</v>
      </c>
      <c r="O118" s="42">
        <v>103.3</v>
      </c>
      <c r="P118" s="42">
        <f>SUM(D118:O118)</f>
        <v>1193.5999999999999</v>
      </c>
      <c r="Q118" s="63">
        <f t="shared" ref="Q118:Q126" si="28">AVERAGE(D118:O118)</f>
        <v>99.466666666666654</v>
      </c>
    </row>
    <row r="119" spans="1:17" ht="15.5" x14ac:dyDescent="0.3">
      <c r="A119" s="71"/>
      <c r="B119" s="91"/>
      <c r="C119" s="2" t="s">
        <v>14</v>
      </c>
      <c r="D119" s="43">
        <v>108</v>
      </c>
      <c r="E119" s="43">
        <v>106</v>
      </c>
      <c r="F119" s="43">
        <v>106</v>
      </c>
      <c r="G119" s="43">
        <v>105</v>
      </c>
      <c r="H119" s="43">
        <v>106</v>
      </c>
      <c r="I119" s="43">
        <v>106</v>
      </c>
      <c r="J119" s="43">
        <v>106</v>
      </c>
      <c r="K119" s="43">
        <v>107</v>
      </c>
      <c r="L119" s="43">
        <v>108</v>
      </c>
      <c r="M119" s="43"/>
      <c r="N119" s="43">
        <v>107</v>
      </c>
      <c r="O119" s="43">
        <v>107</v>
      </c>
      <c r="P119" s="42">
        <f t="shared" ref="P119:P127" si="29">SUM(D119:O119)</f>
        <v>1172</v>
      </c>
      <c r="Q119" s="63">
        <f t="shared" si="28"/>
        <v>106.54545454545455</v>
      </c>
    </row>
    <row r="120" spans="1:17" ht="15.5" x14ac:dyDescent="0.3">
      <c r="A120" s="71"/>
      <c r="B120" s="91"/>
      <c r="C120" s="2" t="s">
        <v>15</v>
      </c>
      <c r="D120" s="43">
        <v>106</v>
      </c>
      <c r="E120" s="43">
        <v>105</v>
      </c>
      <c r="F120" s="43">
        <v>107</v>
      </c>
      <c r="G120" s="43">
        <v>108</v>
      </c>
      <c r="H120" s="43">
        <v>107</v>
      </c>
      <c r="I120" s="43">
        <v>106</v>
      </c>
      <c r="J120" s="43">
        <v>106</v>
      </c>
      <c r="K120" s="43">
        <v>105</v>
      </c>
      <c r="L120" s="43">
        <v>107</v>
      </c>
      <c r="M120" s="43">
        <v>106</v>
      </c>
      <c r="N120" s="43">
        <v>106</v>
      </c>
      <c r="O120" s="43">
        <v>106</v>
      </c>
      <c r="P120" s="42">
        <f t="shared" si="29"/>
        <v>1275</v>
      </c>
      <c r="Q120" s="63">
        <f t="shared" si="28"/>
        <v>106.25</v>
      </c>
    </row>
    <row r="121" spans="1:17" ht="15.5" x14ac:dyDescent="0.3">
      <c r="A121" s="71"/>
      <c r="B121" s="91"/>
      <c r="C121" s="2" t="s">
        <v>16</v>
      </c>
      <c r="D121" s="42">
        <v>121.3</v>
      </c>
      <c r="E121" s="42">
        <v>125.6</v>
      </c>
      <c r="F121" s="42">
        <v>116.1</v>
      </c>
      <c r="G121" s="42">
        <v>123.9</v>
      </c>
      <c r="H121" s="42">
        <v>106.9</v>
      </c>
      <c r="I121" s="42">
        <v>111.3</v>
      </c>
      <c r="J121" s="42">
        <v>109.7</v>
      </c>
      <c r="K121" s="42">
        <v>106.2</v>
      </c>
      <c r="L121" s="42">
        <v>98.4</v>
      </c>
      <c r="M121" s="42">
        <v>106</v>
      </c>
      <c r="N121" s="42">
        <v>105.3</v>
      </c>
      <c r="O121" s="42">
        <v>104.9</v>
      </c>
      <c r="P121" s="42">
        <f t="shared" si="29"/>
        <v>1335.6000000000001</v>
      </c>
      <c r="Q121" s="63">
        <f t="shared" si="28"/>
        <v>111.30000000000001</v>
      </c>
    </row>
    <row r="122" spans="1:17" ht="15.5" x14ac:dyDescent="0.3">
      <c r="A122" s="71"/>
      <c r="B122" s="91"/>
      <c r="C122" s="2" t="s">
        <v>17</v>
      </c>
      <c r="D122" s="42">
        <v>116.3</v>
      </c>
      <c r="E122" s="42">
        <v>105.7</v>
      </c>
      <c r="F122" s="42">
        <v>107.1</v>
      </c>
      <c r="G122" s="42">
        <v>112.3</v>
      </c>
      <c r="H122" s="42">
        <v>108.5</v>
      </c>
      <c r="I122" s="42">
        <v>107</v>
      </c>
      <c r="J122" s="42">
        <v>108.2</v>
      </c>
      <c r="K122" s="42">
        <v>106</v>
      </c>
      <c r="L122" s="42">
        <v>98.9</v>
      </c>
      <c r="M122" s="42">
        <v>91.5</v>
      </c>
      <c r="N122" s="42">
        <v>84.7</v>
      </c>
      <c r="O122" s="42">
        <v>89.6</v>
      </c>
      <c r="P122" s="42">
        <f t="shared" si="29"/>
        <v>1235.8</v>
      </c>
      <c r="Q122" s="63">
        <f t="shared" si="28"/>
        <v>102.98333333333333</v>
      </c>
    </row>
    <row r="123" spans="1:17" ht="15.5" customHeight="1" x14ac:dyDescent="0.3">
      <c r="A123" s="71"/>
      <c r="B123" s="91"/>
      <c r="C123" s="2" t="s">
        <v>18</v>
      </c>
      <c r="D123" s="42">
        <v>103.9</v>
      </c>
      <c r="E123" s="42">
        <v>119.6</v>
      </c>
      <c r="F123" s="42">
        <v>115.8</v>
      </c>
      <c r="G123" s="42">
        <v>113.9</v>
      </c>
      <c r="H123" s="42">
        <v>118</v>
      </c>
      <c r="I123" s="42">
        <v>114.3</v>
      </c>
      <c r="J123" s="42">
        <v>113.2</v>
      </c>
      <c r="K123" s="42">
        <v>115.4</v>
      </c>
      <c r="L123" s="42">
        <v>109.4</v>
      </c>
      <c r="M123" s="42">
        <v>99.4</v>
      </c>
      <c r="N123" s="42">
        <v>96.4</v>
      </c>
      <c r="O123" s="42">
        <v>102.3</v>
      </c>
      <c r="P123" s="42">
        <f t="shared" si="29"/>
        <v>1321.6000000000001</v>
      </c>
      <c r="Q123" s="63">
        <f t="shared" si="28"/>
        <v>110.13333333333334</v>
      </c>
    </row>
    <row r="124" spans="1:17" ht="15.5" x14ac:dyDescent="0.3">
      <c r="A124" s="71"/>
      <c r="B124" s="91"/>
      <c r="C124" s="2" t="s">
        <v>19</v>
      </c>
      <c r="D124" s="42">
        <v>123</v>
      </c>
      <c r="E124" s="42">
        <v>130</v>
      </c>
      <c r="F124" s="42">
        <v>126</v>
      </c>
      <c r="G124" s="42">
        <v>134</v>
      </c>
      <c r="H124" s="42">
        <v>112</v>
      </c>
      <c r="I124" s="42">
        <v>115</v>
      </c>
      <c r="J124" s="42">
        <v>116</v>
      </c>
      <c r="K124" s="42">
        <v>114</v>
      </c>
      <c r="L124" s="42">
        <v>106</v>
      </c>
      <c r="M124" s="42">
        <v>97</v>
      </c>
      <c r="N124" s="42">
        <v>110</v>
      </c>
      <c r="O124" s="42">
        <v>96</v>
      </c>
      <c r="P124" s="42">
        <f t="shared" si="29"/>
        <v>1379</v>
      </c>
      <c r="Q124" s="63">
        <f t="shared" si="28"/>
        <v>114.91666666666667</v>
      </c>
    </row>
    <row r="125" spans="1:17" ht="15.5" x14ac:dyDescent="0.3">
      <c r="A125" s="71"/>
      <c r="B125" s="91"/>
      <c r="C125" s="2" t="s">
        <v>20</v>
      </c>
      <c r="D125" s="42">
        <v>123</v>
      </c>
      <c r="E125" s="42">
        <v>126</v>
      </c>
      <c r="F125" s="42">
        <v>131</v>
      </c>
      <c r="G125" s="42">
        <v>139</v>
      </c>
      <c r="H125" s="42">
        <v>115</v>
      </c>
      <c r="I125" s="42">
        <v>115</v>
      </c>
      <c r="J125" s="42">
        <v>119</v>
      </c>
      <c r="K125" s="42">
        <v>120</v>
      </c>
      <c r="L125" s="42">
        <v>101</v>
      </c>
      <c r="M125" s="42">
        <v>106</v>
      </c>
      <c r="N125" s="42">
        <v>112</v>
      </c>
      <c r="O125" s="42">
        <v>109</v>
      </c>
      <c r="P125" s="42">
        <f t="shared" si="29"/>
        <v>1416</v>
      </c>
      <c r="Q125" s="63">
        <f t="shared" si="28"/>
        <v>118</v>
      </c>
    </row>
    <row r="126" spans="1:17" ht="15.5" x14ac:dyDescent="0.3">
      <c r="A126" s="71"/>
      <c r="B126" s="91"/>
      <c r="C126" s="2" t="s">
        <v>21</v>
      </c>
      <c r="D126" s="42">
        <v>105</v>
      </c>
      <c r="E126" s="42">
        <v>118</v>
      </c>
      <c r="F126" s="42">
        <v>114</v>
      </c>
      <c r="G126" s="42">
        <v>113</v>
      </c>
      <c r="H126" s="42">
        <v>114</v>
      </c>
      <c r="I126" s="42">
        <v>107</v>
      </c>
      <c r="J126" s="42">
        <v>119</v>
      </c>
      <c r="K126" s="42">
        <v>112</v>
      </c>
      <c r="L126" s="42">
        <v>102</v>
      </c>
      <c r="M126" s="42">
        <v>103</v>
      </c>
      <c r="N126" s="42">
        <v>96</v>
      </c>
      <c r="O126" s="42">
        <v>101</v>
      </c>
      <c r="P126" s="42">
        <f t="shared" si="29"/>
        <v>1304</v>
      </c>
      <c r="Q126" s="63">
        <f t="shared" si="28"/>
        <v>108.66666666666667</v>
      </c>
    </row>
    <row r="127" spans="1:17" ht="15.5" x14ac:dyDescent="0.3">
      <c r="A127" s="71"/>
      <c r="B127" s="91"/>
      <c r="C127" s="2" t="s">
        <v>48</v>
      </c>
      <c r="D127" s="42">
        <f>SUM(D118:D126)</f>
        <v>1012.5</v>
      </c>
      <c r="E127" s="42">
        <f t="shared" ref="E127:O127" si="30">SUM(E118:E126)</f>
        <v>1046.9000000000001</v>
      </c>
      <c r="F127" s="42">
        <f t="shared" si="30"/>
        <v>1025</v>
      </c>
      <c r="G127" s="42">
        <f t="shared" si="30"/>
        <v>1059.8</v>
      </c>
      <c r="H127" s="42">
        <f t="shared" si="30"/>
        <v>977.4</v>
      </c>
      <c r="I127" s="42">
        <f t="shared" si="30"/>
        <v>979.2</v>
      </c>
      <c r="J127" s="42">
        <f t="shared" si="30"/>
        <v>988.1</v>
      </c>
      <c r="K127" s="42">
        <f t="shared" si="30"/>
        <v>983.9</v>
      </c>
      <c r="L127" s="42">
        <f t="shared" si="30"/>
        <v>922.69999999999993</v>
      </c>
      <c r="M127" s="42">
        <f t="shared" si="30"/>
        <v>804.9</v>
      </c>
      <c r="N127" s="42">
        <f t="shared" si="30"/>
        <v>913.1</v>
      </c>
      <c r="O127" s="42">
        <f t="shared" si="30"/>
        <v>919.1</v>
      </c>
      <c r="P127" s="42">
        <f t="shared" si="29"/>
        <v>11632.6</v>
      </c>
      <c r="Q127" s="63"/>
    </row>
    <row r="128" spans="1:17" ht="15.5" x14ac:dyDescent="0.3">
      <c r="A128" s="72"/>
      <c r="B128" s="92"/>
      <c r="C128" s="2" t="s">
        <v>47</v>
      </c>
      <c r="D128" s="35">
        <f>AVERAGE(D118:D126)</f>
        <v>112.5</v>
      </c>
      <c r="E128" s="35">
        <f t="shared" ref="E128:O128" si="31">AVERAGE(E118:E126)</f>
        <v>116.32222222222224</v>
      </c>
      <c r="F128" s="35">
        <f t="shared" si="31"/>
        <v>113.88888888888889</v>
      </c>
      <c r="G128" s="35">
        <f t="shared" si="31"/>
        <v>117.75555555555555</v>
      </c>
      <c r="H128" s="35">
        <f t="shared" si="31"/>
        <v>108.6</v>
      </c>
      <c r="I128" s="35">
        <f t="shared" si="31"/>
        <v>108.80000000000001</v>
      </c>
      <c r="J128" s="35">
        <f t="shared" si="31"/>
        <v>109.78888888888889</v>
      </c>
      <c r="K128" s="35">
        <f t="shared" si="31"/>
        <v>109.32222222222222</v>
      </c>
      <c r="L128" s="35">
        <f t="shared" si="31"/>
        <v>102.52222222222221</v>
      </c>
      <c r="M128" s="35">
        <f t="shared" si="31"/>
        <v>100.6125</v>
      </c>
      <c r="N128" s="35">
        <f t="shared" si="31"/>
        <v>101.45555555555556</v>
      </c>
      <c r="O128" s="35">
        <f t="shared" si="31"/>
        <v>102.12222222222222</v>
      </c>
      <c r="P128" s="42"/>
      <c r="Q128" s="63"/>
    </row>
    <row r="129" spans="1:17" ht="15.5" x14ac:dyDescent="0.3">
      <c r="A129" s="16"/>
      <c r="B129" s="16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55"/>
    </row>
    <row r="130" spans="1:17" ht="14.5" customHeight="1" x14ac:dyDescent="0.3"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5"/>
    </row>
    <row r="131" spans="1:17" x14ac:dyDescent="0.3">
      <c r="A131" s="3" t="s">
        <v>29</v>
      </c>
      <c r="B131" s="3" t="s">
        <v>35</v>
      </c>
      <c r="C131" s="70" t="s">
        <v>2</v>
      </c>
      <c r="D131" s="93" t="s">
        <v>3</v>
      </c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5"/>
      <c r="P131" s="45"/>
      <c r="Q131" s="87" t="s">
        <v>47</v>
      </c>
    </row>
    <row r="132" spans="1:17" ht="15.5" customHeight="1" x14ac:dyDescent="0.3">
      <c r="A132" s="70">
        <v>9</v>
      </c>
      <c r="B132" s="90" t="s">
        <v>44</v>
      </c>
      <c r="C132" s="71"/>
      <c r="D132" s="93" t="s">
        <v>4</v>
      </c>
      <c r="E132" s="94"/>
      <c r="F132" s="94"/>
      <c r="G132" s="95"/>
      <c r="H132" s="93" t="s">
        <v>11</v>
      </c>
      <c r="I132" s="94"/>
      <c r="J132" s="94"/>
      <c r="K132" s="95"/>
      <c r="L132" s="93" t="s">
        <v>12</v>
      </c>
      <c r="M132" s="94"/>
      <c r="N132" s="94"/>
      <c r="O132" s="95"/>
      <c r="P132" s="46" t="s">
        <v>48</v>
      </c>
      <c r="Q132" s="88"/>
    </row>
    <row r="133" spans="1:17" x14ac:dyDescent="0.3">
      <c r="A133" s="71"/>
      <c r="B133" s="91"/>
      <c r="C133" s="72"/>
      <c r="D133" s="47" t="s">
        <v>5</v>
      </c>
      <c r="E133" s="47" t="s">
        <v>7</v>
      </c>
      <c r="F133" s="47" t="s">
        <v>8</v>
      </c>
      <c r="G133" s="47" t="s">
        <v>10</v>
      </c>
      <c r="H133" s="47" t="s">
        <v>5</v>
      </c>
      <c r="I133" s="47" t="s">
        <v>7</v>
      </c>
      <c r="J133" s="47" t="s">
        <v>8</v>
      </c>
      <c r="K133" s="47" t="s">
        <v>10</v>
      </c>
      <c r="L133" s="47" t="s">
        <v>5</v>
      </c>
      <c r="M133" s="47" t="s">
        <v>7</v>
      </c>
      <c r="N133" s="47" t="s">
        <v>8</v>
      </c>
      <c r="O133" s="47" t="s">
        <v>10</v>
      </c>
      <c r="P133" s="48"/>
      <c r="Q133" s="89"/>
    </row>
    <row r="134" spans="1:17" ht="15.5" x14ac:dyDescent="0.3">
      <c r="A134" s="71"/>
      <c r="B134" s="91"/>
      <c r="C134" s="2" t="s">
        <v>13</v>
      </c>
      <c r="D134" s="42">
        <v>113</v>
      </c>
      <c r="E134" s="42">
        <v>114</v>
      </c>
      <c r="F134" s="42">
        <v>107</v>
      </c>
      <c r="G134" s="42">
        <v>121</v>
      </c>
      <c r="H134" s="42">
        <v>89</v>
      </c>
      <c r="I134" s="42">
        <v>105</v>
      </c>
      <c r="J134" s="42">
        <v>98</v>
      </c>
      <c r="K134" s="42">
        <v>103</v>
      </c>
      <c r="L134" s="42">
        <v>95</v>
      </c>
      <c r="M134" s="42">
        <v>105</v>
      </c>
      <c r="N134" s="42">
        <v>106</v>
      </c>
      <c r="O134" s="42">
        <v>107</v>
      </c>
      <c r="P134" s="42">
        <f>SUM(D134:O134)</f>
        <v>1263</v>
      </c>
      <c r="Q134" s="63">
        <f t="shared" ref="Q134:Q142" si="32">AVERAGE(D134:O134)</f>
        <v>105.25</v>
      </c>
    </row>
    <row r="135" spans="1:17" ht="15.5" x14ac:dyDescent="0.3">
      <c r="A135" s="71"/>
      <c r="B135" s="91"/>
      <c r="C135" s="2" t="s">
        <v>14</v>
      </c>
      <c r="D135" s="43">
        <v>118</v>
      </c>
      <c r="E135" s="43">
        <v>116</v>
      </c>
      <c r="F135" s="43">
        <v>115</v>
      </c>
      <c r="G135" s="43">
        <v>117</v>
      </c>
      <c r="H135" s="43">
        <v>119</v>
      </c>
      <c r="I135" s="43">
        <v>120</v>
      </c>
      <c r="J135" s="43">
        <v>118</v>
      </c>
      <c r="K135" s="43">
        <v>119</v>
      </c>
      <c r="L135" s="43">
        <v>121</v>
      </c>
      <c r="M135" s="43">
        <v>119</v>
      </c>
      <c r="N135" s="43">
        <v>118</v>
      </c>
      <c r="O135" s="43">
        <v>120</v>
      </c>
      <c r="P135" s="42">
        <f t="shared" ref="P135:P142" si="33">SUM(D135:O135)</f>
        <v>1420</v>
      </c>
      <c r="Q135" s="63">
        <f t="shared" si="32"/>
        <v>118.33333333333333</v>
      </c>
    </row>
    <row r="136" spans="1:17" ht="15.5" x14ac:dyDescent="0.3">
      <c r="A136" s="71"/>
      <c r="B136" s="91"/>
      <c r="C136" s="2" t="s">
        <v>15</v>
      </c>
      <c r="D136" s="43">
        <v>120</v>
      </c>
      <c r="E136" s="43">
        <v>118</v>
      </c>
      <c r="F136" s="43">
        <v>119</v>
      </c>
      <c r="G136" s="43">
        <v>117</v>
      </c>
      <c r="H136" s="43">
        <v>118</v>
      </c>
      <c r="I136" s="43">
        <v>119</v>
      </c>
      <c r="J136" s="43">
        <v>121</v>
      </c>
      <c r="K136" s="43">
        <v>120</v>
      </c>
      <c r="L136" s="43">
        <v>119</v>
      </c>
      <c r="M136" s="43">
        <v>118</v>
      </c>
      <c r="N136" s="43">
        <v>117</v>
      </c>
      <c r="O136" s="43">
        <v>116</v>
      </c>
      <c r="P136" s="42">
        <f t="shared" si="33"/>
        <v>1422</v>
      </c>
      <c r="Q136" s="63">
        <f t="shared" si="32"/>
        <v>118.5</v>
      </c>
    </row>
    <row r="137" spans="1:17" ht="15.5" x14ac:dyDescent="0.3">
      <c r="A137" s="71"/>
      <c r="B137" s="91"/>
      <c r="C137" s="2" t="s">
        <v>16</v>
      </c>
      <c r="D137" s="42">
        <v>135</v>
      </c>
      <c r="E137" s="42">
        <v>125.5</v>
      </c>
      <c r="F137" s="42">
        <v>137.30000000000001</v>
      </c>
      <c r="G137" s="42">
        <v>135.5</v>
      </c>
      <c r="H137" s="42">
        <v>108</v>
      </c>
      <c r="I137" s="42">
        <v>114</v>
      </c>
      <c r="J137" s="42">
        <v>112</v>
      </c>
      <c r="K137" s="42">
        <v>109</v>
      </c>
      <c r="L137" s="42">
        <v>114</v>
      </c>
      <c r="M137" s="42">
        <v>116.5</v>
      </c>
      <c r="N137" s="42">
        <v>107</v>
      </c>
      <c r="O137" s="42">
        <v>111</v>
      </c>
      <c r="P137" s="42">
        <f t="shared" si="33"/>
        <v>1424.8</v>
      </c>
      <c r="Q137" s="63">
        <f t="shared" si="32"/>
        <v>118.73333333333333</v>
      </c>
    </row>
    <row r="138" spans="1:17" ht="15.5" x14ac:dyDescent="0.3">
      <c r="A138" s="71"/>
      <c r="B138" s="91"/>
      <c r="C138" s="2" t="s">
        <v>17</v>
      </c>
      <c r="D138" s="42">
        <v>126.1</v>
      </c>
      <c r="E138" s="42">
        <v>125.3</v>
      </c>
      <c r="F138" s="42">
        <v>128.80000000000001</v>
      </c>
      <c r="G138" s="42">
        <v>116.7</v>
      </c>
      <c r="H138" s="42">
        <v>112</v>
      </c>
      <c r="I138" s="42">
        <v>109</v>
      </c>
      <c r="J138" s="42">
        <v>111</v>
      </c>
      <c r="K138" s="42">
        <v>109</v>
      </c>
      <c r="L138" s="42">
        <v>114</v>
      </c>
      <c r="M138" s="42">
        <v>110.5</v>
      </c>
      <c r="N138" s="42">
        <v>92.3</v>
      </c>
      <c r="O138" s="42">
        <v>107.6</v>
      </c>
      <c r="P138" s="42">
        <f t="shared" si="33"/>
        <v>1362.3</v>
      </c>
      <c r="Q138" s="63">
        <f t="shared" si="32"/>
        <v>113.52499999999999</v>
      </c>
    </row>
    <row r="139" spans="1:17" ht="15.5" x14ac:dyDescent="0.3">
      <c r="A139" s="71"/>
      <c r="B139" s="91"/>
      <c r="C139" s="2" t="s">
        <v>18</v>
      </c>
      <c r="D139" s="42">
        <v>107</v>
      </c>
      <c r="E139" s="42">
        <v>128.69999999999999</v>
      </c>
      <c r="F139" s="42">
        <v>127.8</v>
      </c>
      <c r="G139" s="42">
        <v>132</v>
      </c>
      <c r="H139" s="42">
        <v>119</v>
      </c>
      <c r="I139" s="42">
        <v>117</v>
      </c>
      <c r="J139" s="42">
        <v>162</v>
      </c>
      <c r="K139" s="42">
        <v>118</v>
      </c>
      <c r="L139" s="42">
        <v>114</v>
      </c>
      <c r="M139" s="42">
        <v>107</v>
      </c>
      <c r="N139" s="42">
        <v>109.7</v>
      </c>
      <c r="O139" s="42">
        <v>108.4</v>
      </c>
      <c r="P139" s="42">
        <f t="shared" si="33"/>
        <v>1450.6000000000001</v>
      </c>
      <c r="Q139" s="63">
        <f t="shared" si="32"/>
        <v>120.88333333333334</v>
      </c>
    </row>
    <row r="140" spans="1:17" ht="15.5" customHeight="1" x14ac:dyDescent="0.3">
      <c r="A140" s="71"/>
      <c r="B140" s="91"/>
      <c r="C140" s="2" t="s">
        <v>19</v>
      </c>
      <c r="D140" s="42">
        <v>134</v>
      </c>
      <c r="E140" s="42">
        <v>125</v>
      </c>
      <c r="F140" s="42">
        <v>135</v>
      </c>
      <c r="G140" s="42">
        <v>140</v>
      </c>
      <c r="H140" s="42">
        <v>121</v>
      </c>
      <c r="I140" s="42">
        <v>125</v>
      </c>
      <c r="J140" s="42">
        <v>120</v>
      </c>
      <c r="K140" s="42">
        <v>122</v>
      </c>
      <c r="L140" s="42">
        <v>113</v>
      </c>
      <c r="M140" s="42">
        <v>100</v>
      </c>
      <c r="N140" s="42">
        <v>115</v>
      </c>
      <c r="O140" s="42">
        <v>112</v>
      </c>
      <c r="P140" s="42">
        <f t="shared" si="33"/>
        <v>1462</v>
      </c>
      <c r="Q140" s="63">
        <f t="shared" si="32"/>
        <v>121.83333333333333</v>
      </c>
    </row>
    <row r="141" spans="1:17" ht="15.5" x14ac:dyDescent="0.3">
      <c r="A141" s="71"/>
      <c r="B141" s="91"/>
      <c r="C141" s="2" t="s">
        <v>20</v>
      </c>
      <c r="D141" s="42">
        <v>128</v>
      </c>
      <c r="E141" s="42">
        <v>132</v>
      </c>
      <c r="F141" s="42">
        <v>128</v>
      </c>
      <c r="G141" s="42">
        <v>132</v>
      </c>
      <c r="H141" s="42">
        <v>120</v>
      </c>
      <c r="I141" s="42">
        <v>121</v>
      </c>
      <c r="J141" s="42">
        <v>125</v>
      </c>
      <c r="K141" s="42">
        <v>125</v>
      </c>
      <c r="L141" s="42">
        <v>108</v>
      </c>
      <c r="M141" s="42">
        <v>112</v>
      </c>
      <c r="N141" s="42">
        <v>117</v>
      </c>
      <c r="O141" s="42">
        <v>118</v>
      </c>
      <c r="P141" s="42">
        <f t="shared" si="33"/>
        <v>1466</v>
      </c>
      <c r="Q141" s="63">
        <f t="shared" si="32"/>
        <v>122.16666666666667</v>
      </c>
    </row>
    <row r="142" spans="1:17" ht="15.5" x14ac:dyDescent="0.3">
      <c r="A142" s="71"/>
      <c r="B142" s="91"/>
      <c r="C142" s="2" t="s">
        <v>21</v>
      </c>
      <c r="D142" s="42">
        <v>108</v>
      </c>
      <c r="E142" s="42">
        <v>113</v>
      </c>
      <c r="F142" s="42">
        <v>120</v>
      </c>
      <c r="G142" s="42">
        <v>127</v>
      </c>
      <c r="H142" s="42">
        <v>120</v>
      </c>
      <c r="I142" s="42">
        <v>115</v>
      </c>
      <c r="J142" s="42">
        <v>122</v>
      </c>
      <c r="K142" s="42">
        <v>119</v>
      </c>
      <c r="L142" s="42">
        <v>107</v>
      </c>
      <c r="M142" s="42">
        <v>108</v>
      </c>
      <c r="N142" s="42">
        <v>105</v>
      </c>
      <c r="O142" s="42">
        <v>106</v>
      </c>
      <c r="P142" s="42">
        <f t="shared" si="33"/>
        <v>1370</v>
      </c>
      <c r="Q142" s="63">
        <f t="shared" si="32"/>
        <v>114.16666666666667</v>
      </c>
    </row>
    <row r="143" spans="1:17" ht="15.5" x14ac:dyDescent="0.3">
      <c r="A143" s="71"/>
      <c r="B143" s="91"/>
      <c r="C143" s="2" t="s">
        <v>48</v>
      </c>
      <c r="D143" s="43">
        <f>SUM(D134:D142)</f>
        <v>1089.0999999999999</v>
      </c>
      <c r="E143" s="43">
        <f t="shared" ref="E143:O143" si="34">SUM(E134:E142)</f>
        <v>1097.5</v>
      </c>
      <c r="F143" s="43">
        <f t="shared" si="34"/>
        <v>1117.9000000000001</v>
      </c>
      <c r="G143" s="43">
        <f t="shared" si="34"/>
        <v>1138.2</v>
      </c>
      <c r="H143" s="43">
        <f t="shared" si="34"/>
        <v>1026</v>
      </c>
      <c r="I143" s="43">
        <f t="shared" si="34"/>
        <v>1045</v>
      </c>
      <c r="J143" s="43">
        <f t="shared" si="34"/>
        <v>1089</v>
      </c>
      <c r="K143" s="43">
        <f t="shared" si="34"/>
        <v>1044</v>
      </c>
      <c r="L143" s="43">
        <f t="shared" si="34"/>
        <v>1005</v>
      </c>
      <c r="M143" s="43">
        <f t="shared" si="34"/>
        <v>996</v>
      </c>
      <c r="N143" s="43">
        <f t="shared" si="34"/>
        <v>987</v>
      </c>
      <c r="O143" s="43">
        <f t="shared" si="34"/>
        <v>1006</v>
      </c>
      <c r="P143" s="42">
        <f>SUM(D143:O143)</f>
        <v>12640.7</v>
      </c>
      <c r="Q143" s="41"/>
    </row>
    <row r="144" spans="1:17" x14ac:dyDescent="0.3">
      <c r="A144" s="72"/>
      <c r="B144" s="92"/>
      <c r="C144" s="2" t="s">
        <v>47</v>
      </c>
      <c r="D144" s="63">
        <f>AVERAGE(D134:D142)</f>
        <v>121.01111111111111</v>
      </c>
      <c r="E144" s="63">
        <f t="shared" ref="E144:O144" si="35">AVERAGE(E134:E142)</f>
        <v>121.94444444444444</v>
      </c>
      <c r="F144" s="63">
        <f t="shared" si="35"/>
        <v>124.21111111111112</v>
      </c>
      <c r="G144" s="63">
        <f t="shared" si="35"/>
        <v>126.46666666666667</v>
      </c>
      <c r="H144" s="63">
        <f t="shared" si="35"/>
        <v>114</v>
      </c>
      <c r="I144" s="63">
        <f t="shared" si="35"/>
        <v>116.11111111111111</v>
      </c>
      <c r="J144" s="63">
        <f t="shared" si="35"/>
        <v>121</v>
      </c>
      <c r="K144" s="63">
        <f t="shared" si="35"/>
        <v>116</v>
      </c>
      <c r="L144" s="63">
        <f t="shared" si="35"/>
        <v>111.66666666666667</v>
      </c>
      <c r="M144" s="63">
        <f t="shared" si="35"/>
        <v>110.66666666666667</v>
      </c>
      <c r="N144" s="63">
        <f t="shared" si="35"/>
        <v>109.66666666666667</v>
      </c>
      <c r="O144" s="63">
        <f t="shared" si="35"/>
        <v>111.77777777777777</v>
      </c>
      <c r="P144" s="43"/>
      <c r="Q144" s="41"/>
    </row>
  </sheetData>
  <mergeCells count="71">
    <mergeCell ref="A132:A144"/>
    <mergeCell ref="B132:B144"/>
    <mergeCell ref="A4:A16"/>
    <mergeCell ref="B4:B16"/>
    <mergeCell ref="A20:A32"/>
    <mergeCell ref="B20:B32"/>
    <mergeCell ref="A36:A48"/>
    <mergeCell ref="B36:B48"/>
    <mergeCell ref="A68:A80"/>
    <mergeCell ref="B68:B80"/>
    <mergeCell ref="A84:A96"/>
    <mergeCell ref="B84:B96"/>
    <mergeCell ref="A100:A112"/>
    <mergeCell ref="B100:B112"/>
    <mergeCell ref="B116:B128"/>
    <mergeCell ref="A116:A128"/>
    <mergeCell ref="A2:O2"/>
    <mergeCell ref="C3:C5"/>
    <mergeCell ref="D3:O3"/>
    <mergeCell ref="D4:G4"/>
    <mergeCell ref="H4:K4"/>
    <mergeCell ref="L4:O4"/>
    <mergeCell ref="C19:C21"/>
    <mergeCell ref="D19:O19"/>
    <mergeCell ref="D20:G20"/>
    <mergeCell ref="H20:K20"/>
    <mergeCell ref="L20:O20"/>
    <mergeCell ref="Q3:Q5"/>
    <mergeCell ref="Q19:Q21"/>
    <mergeCell ref="D100:G100"/>
    <mergeCell ref="H100:K100"/>
    <mergeCell ref="L100:O100"/>
    <mergeCell ref="C83:C85"/>
    <mergeCell ref="D83:O83"/>
    <mergeCell ref="D84:G84"/>
    <mergeCell ref="H84:K84"/>
    <mergeCell ref="L84:O84"/>
    <mergeCell ref="C35:C37"/>
    <mergeCell ref="D35:O35"/>
    <mergeCell ref="D36:G36"/>
    <mergeCell ref="H36:K36"/>
    <mergeCell ref="L36:O36"/>
    <mergeCell ref="C51:C53"/>
    <mergeCell ref="D51:O51"/>
    <mergeCell ref="D52:G52"/>
    <mergeCell ref="H52:K52"/>
    <mergeCell ref="L52:O52"/>
    <mergeCell ref="Q35:Q37"/>
    <mergeCell ref="Q51:Q53"/>
    <mergeCell ref="Q67:Q69"/>
    <mergeCell ref="Q83:Q85"/>
    <mergeCell ref="Q99:Q101"/>
    <mergeCell ref="Q115:Q117"/>
    <mergeCell ref="Q131:Q133"/>
    <mergeCell ref="C131:C133"/>
    <mergeCell ref="D131:O131"/>
    <mergeCell ref="D132:G132"/>
    <mergeCell ref="H132:K132"/>
    <mergeCell ref="L132:O132"/>
    <mergeCell ref="C115:C117"/>
    <mergeCell ref="D115:O115"/>
    <mergeCell ref="D116:G116"/>
    <mergeCell ref="H116:K116"/>
    <mergeCell ref="L116:O116"/>
    <mergeCell ref="C99:C101"/>
    <mergeCell ref="D99:O99"/>
    <mergeCell ref="C67:C69"/>
    <mergeCell ref="D67:O67"/>
    <mergeCell ref="D68:G68"/>
    <mergeCell ref="H68:K68"/>
    <mergeCell ref="L68:O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84A3-7FFF-4094-AE3A-2273EF504FF2}">
  <dimension ref="A3:Q140"/>
  <sheetViews>
    <sheetView zoomScale="36" zoomScaleNormal="55" workbookViewId="0">
      <selection activeCell="S3" sqref="S3:AR120"/>
    </sheetView>
  </sheetViews>
  <sheetFormatPr defaultRowHeight="14" x14ac:dyDescent="0.3"/>
  <cols>
    <col min="1" max="1" width="8.7265625" style="17"/>
    <col min="2" max="2" width="19.1796875" style="17" customWidth="1"/>
    <col min="3" max="3" width="10.26953125" style="17" customWidth="1"/>
    <col min="4" max="5" width="8.7265625" style="17"/>
    <col min="6" max="17" width="8.81640625" style="17" bestFit="1" customWidth="1"/>
    <col min="18" max="18" width="8.7265625" style="17"/>
    <col min="19" max="19" width="10.54296875" style="17" customWidth="1"/>
    <col min="20" max="20" width="10.36328125" style="17" customWidth="1"/>
    <col min="21" max="21" width="8.7265625" style="17"/>
    <col min="22" max="22" width="10.26953125" style="17" customWidth="1"/>
    <col min="23" max="23" width="9.36328125" style="17" bestFit="1" customWidth="1"/>
    <col min="24" max="25" width="8.81640625" style="17" bestFit="1" customWidth="1"/>
    <col min="26" max="26" width="9.36328125" style="17" bestFit="1" customWidth="1"/>
    <col min="27" max="27" width="8.81640625" style="17" bestFit="1" customWidth="1"/>
    <col min="28" max="28" width="8.7265625" style="17"/>
    <col min="29" max="29" width="10.08984375" style="17" customWidth="1"/>
    <col min="30" max="31" width="8.81640625" style="17" bestFit="1" customWidth="1"/>
    <col min="32" max="32" width="8.36328125" style="17" customWidth="1"/>
    <col min="33" max="33" width="8.81640625" style="17" bestFit="1" customWidth="1"/>
    <col min="34" max="34" width="8.7265625" style="17"/>
    <col min="35" max="36" width="8.81640625" style="17" bestFit="1" customWidth="1"/>
    <col min="37" max="37" width="23" style="17" customWidth="1"/>
    <col min="38" max="38" width="8.7265625" style="17"/>
    <col min="39" max="39" width="11.08984375" style="17" customWidth="1"/>
    <col min="40" max="40" width="10.26953125" style="17" customWidth="1"/>
    <col min="41" max="41" width="10.453125" style="17" customWidth="1"/>
    <col min="42" max="42" width="11.54296875" style="17" customWidth="1"/>
    <col min="43" max="16384" width="8.7265625" style="17"/>
  </cols>
  <sheetData>
    <row r="3" spans="1:17" x14ac:dyDescent="0.3">
      <c r="A3" s="3" t="s">
        <v>29</v>
      </c>
      <c r="B3" s="3" t="s">
        <v>35</v>
      </c>
      <c r="C3" s="73" t="s">
        <v>2</v>
      </c>
      <c r="D3" s="75" t="s">
        <v>61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0" t="s">
        <v>48</v>
      </c>
      <c r="Q3" s="70" t="s">
        <v>47</v>
      </c>
    </row>
    <row r="4" spans="1:17" ht="14.5" customHeight="1" x14ac:dyDescent="0.3">
      <c r="A4" s="70">
        <v>3</v>
      </c>
      <c r="B4" s="90" t="s">
        <v>51</v>
      </c>
      <c r="C4" s="73"/>
      <c r="D4" s="75" t="s">
        <v>4</v>
      </c>
      <c r="E4" s="75"/>
      <c r="F4" s="75"/>
      <c r="G4" s="75"/>
      <c r="H4" s="75" t="s">
        <v>11</v>
      </c>
      <c r="I4" s="75"/>
      <c r="J4" s="75"/>
      <c r="K4" s="75"/>
      <c r="L4" s="75" t="s">
        <v>12</v>
      </c>
      <c r="M4" s="75"/>
      <c r="N4" s="75"/>
      <c r="O4" s="75"/>
      <c r="P4" s="71"/>
      <c r="Q4" s="71"/>
    </row>
    <row r="5" spans="1:17" x14ac:dyDescent="0.3">
      <c r="A5" s="71"/>
      <c r="B5" s="91"/>
      <c r="C5" s="73"/>
      <c r="D5" s="29" t="s">
        <v>5</v>
      </c>
      <c r="E5" s="29" t="s">
        <v>7</v>
      </c>
      <c r="F5" s="29" t="s">
        <v>8</v>
      </c>
      <c r="G5" s="29" t="s">
        <v>10</v>
      </c>
      <c r="H5" s="29" t="s">
        <v>5</v>
      </c>
      <c r="I5" s="29" t="s">
        <v>7</v>
      </c>
      <c r="J5" s="29" t="s">
        <v>8</v>
      </c>
      <c r="K5" s="29" t="s">
        <v>10</v>
      </c>
      <c r="L5" s="29" t="s">
        <v>5</v>
      </c>
      <c r="M5" s="29" t="s">
        <v>7</v>
      </c>
      <c r="N5" s="29" t="s">
        <v>8</v>
      </c>
      <c r="O5" s="29" t="s">
        <v>10</v>
      </c>
      <c r="P5" s="72"/>
      <c r="Q5" s="72"/>
    </row>
    <row r="6" spans="1:17" x14ac:dyDescent="0.3">
      <c r="A6" s="71"/>
      <c r="B6" s="91"/>
      <c r="C6" s="32" t="s">
        <v>13</v>
      </c>
      <c r="D6" s="64">
        <v>27</v>
      </c>
      <c r="E6" s="64">
        <v>15</v>
      </c>
      <c r="F6" s="64">
        <v>22</v>
      </c>
      <c r="G6" s="64">
        <v>23</v>
      </c>
      <c r="H6" s="64">
        <v>13</v>
      </c>
      <c r="I6" s="64">
        <v>24</v>
      </c>
      <c r="J6" s="64">
        <v>30</v>
      </c>
      <c r="K6" s="64">
        <v>24</v>
      </c>
      <c r="L6" s="64">
        <v>24</v>
      </c>
      <c r="M6" s="64">
        <v>34</v>
      </c>
      <c r="N6" s="64">
        <v>14</v>
      </c>
      <c r="O6" s="64">
        <v>28</v>
      </c>
      <c r="P6" s="65">
        <f xml:space="preserve"> SUM(D6:O6)</f>
        <v>278</v>
      </c>
      <c r="Q6" s="63">
        <f>AVERAGE(D6:O6)</f>
        <v>23.166666666666668</v>
      </c>
    </row>
    <row r="7" spans="1:17" x14ac:dyDescent="0.3">
      <c r="A7" s="71"/>
      <c r="B7" s="91"/>
      <c r="C7" s="32" t="s">
        <v>14</v>
      </c>
      <c r="D7" s="43">
        <v>24</v>
      </c>
      <c r="E7" s="43">
        <v>18</v>
      </c>
      <c r="F7" s="43">
        <v>24</v>
      </c>
      <c r="G7" s="43">
        <v>21</v>
      </c>
      <c r="H7" s="43">
        <v>17</v>
      </c>
      <c r="I7" s="43">
        <v>22</v>
      </c>
      <c r="J7" s="43">
        <v>24</v>
      </c>
      <c r="K7" s="43">
        <v>21</v>
      </c>
      <c r="L7" s="43">
        <v>23</v>
      </c>
      <c r="M7" s="43">
        <v>24</v>
      </c>
      <c r="N7" s="43">
        <v>19</v>
      </c>
      <c r="O7" s="43">
        <v>25</v>
      </c>
      <c r="P7" s="65">
        <f t="shared" ref="P7:P15" si="0" xml:space="preserve"> SUM(D7:O7)</f>
        <v>262</v>
      </c>
      <c r="Q7" s="63">
        <f t="shared" ref="Q7:Q14" si="1">AVERAGE(D7:O7)</f>
        <v>21.833333333333332</v>
      </c>
    </row>
    <row r="8" spans="1:17" x14ac:dyDescent="0.3">
      <c r="A8" s="71"/>
      <c r="B8" s="91"/>
      <c r="C8" s="32" t="s">
        <v>15</v>
      </c>
      <c r="D8" s="43">
        <v>22</v>
      </c>
      <c r="E8" s="43">
        <v>21</v>
      </c>
      <c r="F8" s="43">
        <v>22</v>
      </c>
      <c r="G8" s="43">
        <v>22</v>
      </c>
      <c r="H8" s="43">
        <v>20</v>
      </c>
      <c r="I8" s="43">
        <v>22</v>
      </c>
      <c r="J8" s="43">
        <v>23</v>
      </c>
      <c r="K8" s="43">
        <v>21</v>
      </c>
      <c r="L8" s="43">
        <v>22</v>
      </c>
      <c r="M8" s="43">
        <v>20</v>
      </c>
      <c r="N8" s="43">
        <v>18</v>
      </c>
      <c r="O8" s="43">
        <v>23</v>
      </c>
      <c r="P8" s="65">
        <f t="shared" si="0"/>
        <v>256</v>
      </c>
      <c r="Q8" s="63">
        <f t="shared" si="1"/>
        <v>21.333333333333332</v>
      </c>
    </row>
    <row r="9" spans="1:17" x14ac:dyDescent="0.3">
      <c r="A9" s="71"/>
      <c r="B9" s="91"/>
      <c r="C9" s="32" t="s">
        <v>16</v>
      </c>
      <c r="D9" s="64">
        <v>13</v>
      </c>
      <c r="E9" s="64">
        <v>11</v>
      </c>
      <c r="F9" s="64">
        <v>12</v>
      </c>
      <c r="G9" s="64">
        <v>12</v>
      </c>
      <c r="H9" s="64">
        <v>11</v>
      </c>
      <c r="I9" s="64">
        <v>8</v>
      </c>
      <c r="J9" s="64">
        <v>16</v>
      </c>
      <c r="K9" s="64">
        <v>16</v>
      </c>
      <c r="L9" s="64">
        <v>6</v>
      </c>
      <c r="M9" s="64">
        <v>8</v>
      </c>
      <c r="N9" s="64">
        <v>14</v>
      </c>
      <c r="O9" s="64">
        <v>11</v>
      </c>
      <c r="P9" s="65">
        <f t="shared" si="0"/>
        <v>138</v>
      </c>
      <c r="Q9" s="63">
        <f t="shared" si="1"/>
        <v>11.5</v>
      </c>
    </row>
    <row r="10" spans="1:17" x14ac:dyDescent="0.3">
      <c r="A10" s="71"/>
      <c r="B10" s="91"/>
      <c r="C10" s="32" t="s">
        <v>17</v>
      </c>
      <c r="D10" s="64">
        <v>12</v>
      </c>
      <c r="E10" s="64">
        <v>11</v>
      </c>
      <c r="F10" s="64">
        <v>10</v>
      </c>
      <c r="G10" s="64">
        <v>10</v>
      </c>
      <c r="H10" s="64">
        <v>11</v>
      </c>
      <c r="I10" s="64">
        <v>6</v>
      </c>
      <c r="J10" s="64">
        <v>7</v>
      </c>
      <c r="K10" s="64">
        <v>7</v>
      </c>
      <c r="L10" s="64">
        <v>8</v>
      </c>
      <c r="M10" s="64">
        <v>13</v>
      </c>
      <c r="N10" s="64">
        <v>11</v>
      </c>
      <c r="O10" s="64">
        <v>18</v>
      </c>
      <c r="P10" s="65">
        <f t="shared" si="0"/>
        <v>124</v>
      </c>
      <c r="Q10" s="63">
        <f t="shared" si="1"/>
        <v>10.333333333333334</v>
      </c>
    </row>
    <row r="11" spans="1:17" x14ac:dyDescent="0.3">
      <c r="A11" s="71"/>
      <c r="B11" s="91"/>
      <c r="C11" s="32" t="s">
        <v>18</v>
      </c>
      <c r="D11" s="64">
        <v>6</v>
      </c>
      <c r="E11" s="64">
        <v>17</v>
      </c>
      <c r="F11" s="64">
        <v>18</v>
      </c>
      <c r="G11" s="64">
        <v>7</v>
      </c>
      <c r="H11" s="64">
        <v>8</v>
      </c>
      <c r="I11" s="64">
        <v>14</v>
      </c>
      <c r="J11" s="64">
        <v>18</v>
      </c>
      <c r="K11" s="64">
        <v>19</v>
      </c>
      <c r="L11" s="64">
        <v>9</v>
      </c>
      <c r="M11" s="64">
        <v>10</v>
      </c>
      <c r="N11" s="64">
        <v>18</v>
      </c>
      <c r="O11" s="64">
        <v>19</v>
      </c>
      <c r="P11" s="65">
        <f t="shared" si="0"/>
        <v>163</v>
      </c>
      <c r="Q11" s="63">
        <f t="shared" si="1"/>
        <v>13.583333333333334</v>
      </c>
    </row>
    <row r="12" spans="1:17" x14ac:dyDescent="0.3">
      <c r="A12" s="71"/>
      <c r="B12" s="91"/>
      <c r="C12" s="32" t="s">
        <v>19</v>
      </c>
      <c r="D12" s="64">
        <v>9</v>
      </c>
      <c r="E12" s="64">
        <v>12</v>
      </c>
      <c r="F12" s="64">
        <v>14</v>
      </c>
      <c r="G12" s="64">
        <v>13</v>
      </c>
      <c r="H12" s="64">
        <v>18</v>
      </c>
      <c r="I12" s="64">
        <v>20</v>
      </c>
      <c r="J12" s="64">
        <v>14</v>
      </c>
      <c r="K12" s="64">
        <v>14</v>
      </c>
      <c r="L12" s="64">
        <v>13</v>
      </c>
      <c r="M12" s="64">
        <v>15</v>
      </c>
      <c r="N12" s="64">
        <v>18</v>
      </c>
      <c r="O12" s="64">
        <v>13</v>
      </c>
      <c r="P12" s="65">
        <f t="shared" si="0"/>
        <v>173</v>
      </c>
      <c r="Q12" s="63">
        <f t="shared" si="1"/>
        <v>14.416666666666666</v>
      </c>
    </row>
    <row r="13" spans="1:17" x14ac:dyDescent="0.3">
      <c r="A13" s="71"/>
      <c r="B13" s="91"/>
      <c r="C13" s="32" t="s">
        <v>20</v>
      </c>
      <c r="D13" s="64">
        <v>15</v>
      </c>
      <c r="E13" s="64">
        <v>16</v>
      </c>
      <c r="F13" s="64">
        <v>17</v>
      </c>
      <c r="G13" s="64">
        <v>17</v>
      </c>
      <c r="H13" s="64">
        <v>15</v>
      </c>
      <c r="I13" s="64">
        <v>13</v>
      </c>
      <c r="J13" s="64">
        <v>21</v>
      </c>
      <c r="K13" s="64">
        <v>11</v>
      </c>
      <c r="L13" s="64">
        <v>18</v>
      </c>
      <c r="M13" s="64">
        <v>19</v>
      </c>
      <c r="N13" s="64">
        <v>18</v>
      </c>
      <c r="O13" s="64">
        <v>17</v>
      </c>
      <c r="P13" s="65">
        <f t="shared" si="0"/>
        <v>197</v>
      </c>
      <c r="Q13" s="63">
        <f t="shared" si="1"/>
        <v>16.416666666666668</v>
      </c>
    </row>
    <row r="14" spans="1:17" x14ac:dyDescent="0.3">
      <c r="A14" s="71"/>
      <c r="B14" s="91"/>
      <c r="C14" s="32" t="s">
        <v>21</v>
      </c>
      <c r="D14" s="64">
        <v>12</v>
      </c>
      <c r="E14" s="64">
        <v>18</v>
      </c>
      <c r="F14" s="64">
        <v>20</v>
      </c>
      <c r="G14" s="64">
        <v>17</v>
      </c>
      <c r="H14" s="64">
        <v>15</v>
      </c>
      <c r="I14" s="64">
        <v>18</v>
      </c>
      <c r="J14" s="64">
        <v>14</v>
      </c>
      <c r="K14" s="64">
        <v>13</v>
      </c>
      <c r="L14" s="64">
        <v>16</v>
      </c>
      <c r="M14" s="64">
        <v>16</v>
      </c>
      <c r="N14" s="64">
        <v>18</v>
      </c>
      <c r="O14" s="64">
        <v>14</v>
      </c>
      <c r="P14" s="65">
        <f t="shared" si="0"/>
        <v>191</v>
      </c>
      <c r="Q14" s="63">
        <f t="shared" si="1"/>
        <v>15.916666666666666</v>
      </c>
    </row>
    <row r="15" spans="1:17" x14ac:dyDescent="0.3">
      <c r="A15" s="71"/>
      <c r="B15" s="91"/>
      <c r="C15" s="31" t="s">
        <v>48</v>
      </c>
      <c r="D15" s="66">
        <f>SUM(D6:D14)</f>
        <v>140</v>
      </c>
      <c r="E15" s="66">
        <f t="shared" ref="E15:O15" si="2">SUM(E6:E14)</f>
        <v>139</v>
      </c>
      <c r="F15" s="66">
        <f t="shared" si="2"/>
        <v>159</v>
      </c>
      <c r="G15" s="66">
        <f t="shared" si="2"/>
        <v>142</v>
      </c>
      <c r="H15" s="66">
        <f t="shared" si="2"/>
        <v>128</v>
      </c>
      <c r="I15" s="66">
        <f t="shared" si="2"/>
        <v>147</v>
      </c>
      <c r="J15" s="66">
        <f t="shared" si="2"/>
        <v>167</v>
      </c>
      <c r="K15" s="66">
        <f t="shared" si="2"/>
        <v>146</v>
      </c>
      <c r="L15" s="66">
        <f t="shared" si="2"/>
        <v>139</v>
      </c>
      <c r="M15" s="66">
        <f t="shared" si="2"/>
        <v>159</v>
      </c>
      <c r="N15" s="66">
        <f t="shared" si="2"/>
        <v>148</v>
      </c>
      <c r="O15" s="66">
        <f t="shared" si="2"/>
        <v>168</v>
      </c>
      <c r="P15" s="65">
        <f t="shared" si="0"/>
        <v>1782</v>
      </c>
      <c r="Q15" s="63"/>
    </row>
    <row r="16" spans="1:17" x14ac:dyDescent="0.3">
      <c r="A16" s="72"/>
      <c r="B16" s="92"/>
      <c r="C16" s="31" t="s">
        <v>47</v>
      </c>
      <c r="D16" s="63">
        <f>AVERAGE(D6:D14)</f>
        <v>15.555555555555555</v>
      </c>
      <c r="E16" s="63">
        <f t="shared" ref="E16:O16" si="3">AVERAGE(E6:E14)</f>
        <v>15.444444444444445</v>
      </c>
      <c r="F16" s="63">
        <f t="shared" si="3"/>
        <v>17.666666666666668</v>
      </c>
      <c r="G16" s="63">
        <f t="shared" si="3"/>
        <v>15.777777777777779</v>
      </c>
      <c r="H16" s="63">
        <f t="shared" si="3"/>
        <v>14.222222222222221</v>
      </c>
      <c r="I16" s="63">
        <f t="shared" si="3"/>
        <v>16.333333333333332</v>
      </c>
      <c r="J16" s="63">
        <f t="shared" si="3"/>
        <v>18.555555555555557</v>
      </c>
      <c r="K16" s="63">
        <f t="shared" si="3"/>
        <v>16.222222222222221</v>
      </c>
      <c r="L16" s="63">
        <f t="shared" si="3"/>
        <v>15.444444444444445</v>
      </c>
      <c r="M16" s="63">
        <f t="shared" si="3"/>
        <v>17.666666666666668</v>
      </c>
      <c r="N16" s="63">
        <f t="shared" si="3"/>
        <v>16.444444444444443</v>
      </c>
      <c r="O16" s="63">
        <f t="shared" si="3"/>
        <v>18.666666666666668</v>
      </c>
      <c r="P16" s="50"/>
      <c r="Q16" s="63"/>
    </row>
    <row r="17" spans="1:17" x14ac:dyDescent="0.3">
      <c r="Q17" s="55"/>
    </row>
    <row r="18" spans="1:17" x14ac:dyDescent="0.3">
      <c r="Q18" s="55"/>
    </row>
    <row r="19" spans="1:17" x14ac:dyDescent="0.3">
      <c r="A19" s="3" t="s">
        <v>29</v>
      </c>
      <c r="B19" s="3" t="s">
        <v>35</v>
      </c>
      <c r="C19" s="73" t="s">
        <v>2</v>
      </c>
      <c r="D19" s="75" t="s">
        <v>3</v>
      </c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0" t="s">
        <v>48</v>
      </c>
      <c r="Q19" s="87" t="s">
        <v>47</v>
      </c>
    </row>
    <row r="20" spans="1:17" x14ac:dyDescent="0.3">
      <c r="A20" s="70">
        <v>4</v>
      </c>
      <c r="B20" s="90" t="s">
        <v>52</v>
      </c>
      <c r="C20" s="73"/>
      <c r="D20" s="75" t="s">
        <v>4</v>
      </c>
      <c r="E20" s="75"/>
      <c r="F20" s="75"/>
      <c r="G20" s="75"/>
      <c r="H20" s="75" t="s">
        <v>11</v>
      </c>
      <c r="I20" s="75"/>
      <c r="J20" s="75"/>
      <c r="K20" s="75"/>
      <c r="L20" s="75" t="s">
        <v>12</v>
      </c>
      <c r="M20" s="75"/>
      <c r="N20" s="75"/>
      <c r="O20" s="75"/>
      <c r="P20" s="71"/>
      <c r="Q20" s="88"/>
    </row>
    <row r="21" spans="1:17" ht="12" customHeight="1" x14ac:dyDescent="0.3">
      <c r="A21" s="71"/>
      <c r="B21" s="91"/>
      <c r="C21" s="73"/>
      <c r="D21" s="29" t="s">
        <v>5</v>
      </c>
      <c r="E21" s="29" t="s">
        <v>7</v>
      </c>
      <c r="F21" s="29" t="s">
        <v>8</v>
      </c>
      <c r="G21" s="29" t="s">
        <v>10</v>
      </c>
      <c r="H21" s="29" t="s">
        <v>5</v>
      </c>
      <c r="I21" s="29" t="s">
        <v>7</v>
      </c>
      <c r="J21" s="29" t="s">
        <v>8</v>
      </c>
      <c r="K21" s="29" t="s">
        <v>10</v>
      </c>
      <c r="L21" s="29" t="s">
        <v>5</v>
      </c>
      <c r="M21" s="29" t="s">
        <v>7</v>
      </c>
      <c r="N21" s="29" t="s">
        <v>8</v>
      </c>
      <c r="O21" s="29" t="s">
        <v>10</v>
      </c>
      <c r="P21" s="72"/>
      <c r="Q21" s="89"/>
    </row>
    <row r="22" spans="1:17" ht="14.5" customHeight="1" x14ac:dyDescent="0.3">
      <c r="A22" s="71"/>
      <c r="B22" s="91"/>
      <c r="C22" s="32" t="s">
        <v>13</v>
      </c>
      <c r="D22" s="1">
        <v>22</v>
      </c>
      <c r="E22" s="1">
        <v>15</v>
      </c>
      <c r="F22" s="1">
        <v>18</v>
      </c>
      <c r="G22" s="1">
        <v>20</v>
      </c>
      <c r="H22" s="1">
        <v>19</v>
      </c>
      <c r="I22" s="1">
        <v>28</v>
      </c>
      <c r="J22" s="1">
        <v>21</v>
      </c>
      <c r="K22" s="1">
        <v>22</v>
      </c>
      <c r="L22" s="1">
        <v>19</v>
      </c>
      <c r="M22" s="1">
        <v>23</v>
      </c>
      <c r="N22" s="1">
        <v>11</v>
      </c>
      <c r="O22" s="1">
        <v>21</v>
      </c>
      <c r="P22" s="33">
        <f>SUM(D22:O22)</f>
        <v>239</v>
      </c>
      <c r="Q22" s="63">
        <f>AVERAGE(D22:O22)</f>
        <v>19.916666666666668</v>
      </c>
    </row>
    <row r="23" spans="1:17" x14ac:dyDescent="0.3">
      <c r="A23" s="71"/>
      <c r="B23" s="91"/>
      <c r="C23" s="32" t="s">
        <v>14</v>
      </c>
      <c r="D23" s="2">
        <v>23</v>
      </c>
      <c r="E23" s="2">
        <v>20</v>
      </c>
      <c r="F23" s="2">
        <v>24</v>
      </c>
      <c r="G23" s="2">
        <v>23</v>
      </c>
      <c r="H23" s="2">
        <v>20</v>
      </c>
      <c r="I23" s="2">
        <v>26</v>
      </c>
      <c r="J23" s="2">
        <v>24</v>
      </c>
      <c r="K23" s="2">
        <v>25</v>
      </c>
      <c r="L23" s="2">
        <v>22</v>
      </c>
      <c r="M23" s="2">
        <v>25</v>
      </c>
      <c r="N23" s="2">
        <v>26</v>
      </c>
      <c r="O23" s="2">
        <v>28</v>
      </c>
      <c r="P23" s="33">
        <f t="shared" ref="P23:P30" si="4">SUM(D23:O23)</f>
        <v>286</v>
      </c>
      <c r="Q23" s="63">
        <f t="shared" ref="Q23:Q30" si="5">AVERAGE(D23:O23)</f>
        <v>23.833333333333332</v>
      </c>
    </row>
    <row r="24" spans="1:17" x14ac:dyDescent="0.3">
      <c r="A24" s="71"/>
      <c r="B24" s="91"/>
      <c r="C24" s="32" t="s">
        <v>15</v>
      </c>
      <c r="D24" s="2">
        <v>23</v>
      </c>
      <c r="E24" s="2">
        <v>25</v>
      </c>
      <c r="F24" s="2">
        <v>25</v>
      </c>
      <c r="G24" s="2">
        <v>25</v>
      </c>
      <c r="H24" s="2">
        <v>24</v>
      </c>
      <c r="I24" s="2">
        <v>25</v>
      </c>
      <c r="J24" s="2">
        <v>26</v>
      </c>
      <c r="K24" s="2">
        <v>24</v>
      </c>
      <c r="L24" s="2">
        <v>26</v>
      </c>
      <c r="M24" s="2">
        <v>24</v>
      </c>
      <c r="N24" s="2">
        <v>25</v>
      </c>
      <c r="O24" s="2">
        <v>26</v>
      </c>
      <c r="P24" s="33">
        <f t="shared" si="4"/>
        <v>298</v>
      </c>
      <c r="Q24" s="63">
        <f t="shared" si="5"/>
        <v>24.833333333333332</v>
      </c>
    </row>
    <row r="25" spans="1:17" ht="15.5" x14ac:dyDescent="0.3">
      <c r="A25" s="71"/>
      <c r="B25" s="91"/>
      <c r="C25" s="32" t="s">
        <v>16</v>
      </c>
      <c r="D25" s="1">
        <v>11</v>
      </c>
      <c r="E25" s="1">
        <v>5</v>
      </c>
      <c r="F25" s="1">
        <v>12</v>
      </c>
      <c r="G25" s="1">
        <v>19</v>
      </c>
      <c r="H25" s="1">
        <v>18</v>
      </c>
      <c r="I25" s="1">
        <v>14</v>
      </c>
      <c r="J25" s="1">
        <v>16</v>
      </c>
      <c r="K25" s="1">
        <v>13</v>
      </c>
      <c r="L25" s="1">
        <v>11</v>
      </c>
      <c r="M25" s="1">
        <v>13</v>
      </c>
      <c r="N25" s="1">
        <v>12</v>
      </c>
      <c r="O25" s="1">
        <v>9</v>
      </c>
      <c r="P25" s="33">
        <f t="shared" si="4"/>
        <v>153</v>
      </c>
      <c r="Q25" s="63">
        <f t="shared" si="5"/>
        <v>12.75</v>
      </c>
    </row>
    <row r="26" spans="1:17" ht="15.5" x14ac:dyDescent="0.3">
      <c r="A26" s="71"/>
      <c r="B26" s="91"/>
      <c r="C26" s="32" t="s">
        <v>17</v>
      </c>
      <c r="D26" s="1">
        <v>11</v>
      </c>
      <c r="E26" s="1">
        <v>13</v>
      </c>
      <c r="F26" s="1">
        <v>10</v>
      </c>
      <c r="G26" s="1">
        <v>5</v>
      </c>
      <c r="H26" s="1">
        <v>12</v>
      </c>
      <c r="I26" s="1">
        <v>13</v>
      </c>
      <c r="J26" s="1">
        <v>13</v>
      </c>
      <c r="K26" s="1">
        <v>17</v>
      </c>
      <c r="L26" s="1">
        <v>12</v>
      </c>
      <c r="M26" s="1">
        <v>13</v>
      </c>
      <c r="N26" s="1">
        <v>10</v>
      </c>
      <c r="O26" s="1">
        <v>11</v>
      </c>
      <c r="P26" s="33">
        <f t="shared" si="4"/>
        <v>140</v>
      </c>
      <c r="Q26" s="63">
        <f t="shared" si="5"/>
        <v>11.666666666666666</v>
      </c>
    </row>
    <row r="27" spans="1:17" ht="15.5" x14ac:dyDescent="0.3">
      <c r="A27" s="71"/>
      <c r="B27" s="91"/>
      <c r="C27" s="32" t="s">
        <v>18</v>
      </c>
      <c r="D27" s="1">
        <v>9</v>
      </c>
      <c r="E27" s="1">
        <v>10</v>
      </c>
      <c r="F27" s="1">
        <v>18</v>
      </c>
      <c r="G27" s="1">
        <v>19</v>
      </c>
      <c r="H27" s="1">
        <v>11</v>
      </c>
      <c r="I27" s="1">
        <v>24</v>
      </c>
      <c r="J27" s="1">
        <v>13</v>
      </c>
      <c r="K27" s="1">
        <v>12</v>
      </c>
      <c r="L27" s="1">
        <v>18</v>
      </c>
      <c r="M27" s="1">
        <v>15</v>
      </c>
      <c r="N27" s="1">
        <v>14</v>
      </c>
      <c r="O27" s="1">
        <v>15</v>
      </c>
      <c r="P27" s="33">
        <f t="shared" si="4"/>
        <v>178</v>
      </c>
      <c r="Q27" s="63">
        <f t="shared" si="5"/>
        <v>14.833333333333334</v>
      </c>
    </row>
    <row r="28" spans="1:17" ht="15.5" x14ac:dyDescent="0.3">
      <c r="A28" s="71"/>
      <c r="B28" s="91"/>
      <c r="C28" s="32" t="s">
        <v>19</v>
      </c>
      <c r="D28" s="1">
        <v>16</v>
      </c>
      <c r="E28" s="1">
        <v>25</v>
      </c>
      <c r="F28" s="1">
        <v>22</v>
      </c>
      <c r="G28" s="1">
        <v>19</v>
      </c>
      <c r="H28" s="1">
        <v>10</v>
      </c>
      <c r="I28" s="1">
        <v>24</v>
      </c>
      <c r="J28" s="1">
        <v>26</v>
      </c>
      <c r="K28" s="1">
        <v>27</v>
      </c>
      <c r="L28" s="1">
        <v>23</v>
      </c>
      <c r="M28" s="1">
        <v>24</v>
      </c>
      <c r="N28" s="1">
        <v>17</v>
      </c>
      <c r="O28" s="1">
        <v>19</v>
      </c>
      <c r="P28" s="33">
        <f t="shared" si="4"/>
        <v>252</v>
      </c>
      <c r="Q28" s="63">
        <f t="shared" si="5"/>
        <v>21</v>
      </c>
    </row>
    <row r="29" spans="1:17" ht="15.5" x14ac:dyDescent="0.3">
      <c r="A29" s="71"/>
      <c r="B29" s="91"/>
      <c r="C29" s="32" t="s">
        <v>20</v>
      </c>
      <c r="D29" s="1">
        <v>28</v>
      </c>
      <c r="E29" s="1">
        <v>20</v>
      </c>
      <c r="F29" s="1">
        <v>23</v>
      </c>
      <c r="G29" s="1">
        <v>25</v>
      </c>
      <c r="H29" s="1">
        <v>10</v>
      </c>
      <c r="I29" s="1">
        <v>15</v>
      </c>
      <c r="J29" s="1">
        <v>29</v>
      </c>
      <c r="K29" s="1">
        <v>27</v>
      </c>
      <c r="L29" s="1">
        <v>29</v>
      </c>
      <c r="M29" s="1">
        <v>17</v>
      </c>
      <c r="N29" s="1">
        <v>32</v>
      </c>
      <c r="O29" s="1">
        <v>30</v>
      </c>
      <c r="P29" s="33">
        <f t="shared" si="4"/>
        <v>285</v>
      </c>
      <c r="Q29" s="63">
        <f t="shared" si="5"/>
        <v>23.75</v>
      </c>
    </row>
    <row r="30" spans="1:17" ht="15.5" x14ac:dyDescent="0.3">
      <c r="A30" s="71"/>
      <c r="B30" s="91"/>
      <c r="C30" s="32" t="s">
        <v>21</v>
      </c>
      <c r="D30" s="1">
        <v>17</v>
      </c>
      <c r="E30" s="1">
        <v>21</v>
      </c>
      <c r="F30" s="1">
        <v>34</v>
      </c>
      <c r="G30" s="1">
        <v>25</v>
      </c>
      <c r="H30" s="1">
        <v>23</v>
      </c>
      <c r="I30" s="1">
        <v>20</v>
      </c>
      <c r="J30" s="1">
        <v>20</v>
      </c>
      <c r="K30" s="1">
        <v>22</v>
      </c>
      <c r="L30" s="1">
        <v>24</v>
      </c>
      <c r="M30" s="1">
        <v>15</v>
      </c>
      <c r="N30" s="1">
        <v>29</v>
      </c>
      <c r="O30" s="1">
        <v>22</v>
      </c>
      <c r="P30" s="33">
        <f t="shared" si="4"/>
        <v>272</v>
      </c>
      <c r="Q30" s="63">
        <f t="shared" si="5"/>
        <v>22.666666666666668</v>
      </c>
    </row>
    <row r="31" spans="1:17" x14ac:dyDescent="0.3">
      <c r="A31" s="71"/>
      <c r="B31" s="91"/>
      <c r="C31" s="31" t="s">
        <v>48</v>
      </c>
      <c r="D31" s="34">
        <f>SUM(D22:D30)</f>
        <v>160</v>
      </c>
      <c r="E31" s="34">
        <f t="shared" ref="E31:O31" si="6">SUM(E22:E30)</f>
        <v>154</v>
      </c>
      <c r="F31" s="34">
        <f t="shared" si="6"/>
        <v>186</v>
      </c>
      <c r="G31" s="34">
        <f t="shared" si="6"/>
        <v>180</v>
      </c>
      <c r="H31" s="34">
        <f t="shared" si="6"/>
        <v>147</v>
      </c>
      <c r="I31" s="34">
        <f t="shared" si="6"/>
        <v>189</v>
      </c>
      <c r="J31" s="34">
        <f t="shared" si="6"/>
        <v>188</v>
      </c>
      <c r="K31" s="34">
        <f t="shared" si="6"/>
        <v>189</v>
      </c>
      <c r="L31" s="34">
        <f t="shared" si="6"/>
        <v>184</v>
      </c>
      <c r="M31" s="34">
        <f t="shared" si="6"/>
        <v>169</v>
      </c>
      <c r="N31" s="34">
        <f t="shared" si="6"/>
        <v>176</v>
      </c>
      <c r="O31" s="34">
        <f t="shared" si="6"/>
        <v>181</v>
      </c>
      <c r="P31" s="33">
        <f>SUM(D31:O31)</f>
        <v>2103</v>
      </c>
      <c r="Q31" s="63"/>
    </row>
    <row r="32" spans="1:17" x14ac:dyDescent="0.3">
      <c r="A32" s="72"/>
      <c r="B32" s="92"/>
      <c r="C32" s="31" t="s">
        <v>47</v>
      </c>
      <c r="D32" s="63">
        <f>AVERAGE(D22:D30)</f>
        <v>17.777777777777779</v>
      </c>
      <c r="E32" s="63">
        <f t="shared" ref="E32:O32" si="7">AVERAGE(E22:E30)</f>
        <v>17.111111111111111</v>
      </c>
      <c r="F32" s="63">
        <f t="shared" si="7"/>
        <v>20.666666666666668</v>
      </c>
      <c r="G32" s="63">
        <f t="shared" si="7"/>
        <v>20</v>
      </c>
      <c r="H32" s="63">
        <f t="shared" si="7"/>
        <v>16.333333333333332</v>
      </c>
      <c r="I32" s="63">
        <f t="shared" si="7"/>
        <v>21</v>
      </c>
      <c r="J32" s="63">
        <f t="shared" si="7"/>
        <v>20.888888888888889</v>
      </c>
      <c r="K32" s="63">
        <f t="shared" si="7"/>
        <v>21</v>
      </c>
      <c r="L32" s="63">
        <f t="shared" si="7"/>
        <v>20.444444444444443</v>
      </c>
      <c r="M32" s="63">
        <f t="shared" si="7"/>
        <v>18.777777777777779</v>
      </c>
      <c r="N32" s="63">
        <f t="shared" si="7"/>
        <v>19.555555555555557</v>
      </c>
      <c r="O32" s="63">
        <f t="shared" si="7"/>
        <v>20.111111111111111</v>
      </c>
      <c r="P32" s="2"/>
      <c r="Q32" s="63"/>
    </row>
    <row r="33" spans="1:17" x14ac:dyDescent="0.3">
      <c r="Q33" s="55"/>
    </row>
    <row r="34" spans="1:17" x14ac:dyDescent="0.3">
      <c r="Q34" s="55"/>
    </row>
    <row r="35" spans="1:17" x14ac:dyDescent="0.3">
      <c r="A35" s="3" t="s">
        <v>29</v>
      </c>
      <c r="B35" s="3" t="s">
        <v>35</v>
      </c>
      <c r="C35" s="73" t="s">
        <v>2</v>
      </c>
      <c r="D35" s="75" t="s">
        <v>3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0" t="s">
        <v>48</v>
      </c>
      <c r="Q35" s="87" t="s">
        <v>47</v>
      </c>
    </row>
    <row r="36" spans="1:17" x14ac:dyDescent="0.3">
      <c r="A36" s="70">
        <v>5</v>
      </c>
      <c r="B36" s="90" t="s">
        <v>53</v>
      </c>
      <c r="C36" s="73"/>
      <c r="D36" s="75" t="s">
        <v>4</v>
      </c>
      <c r="E36" s="75"/>
      <c r="F36" s="75"/>
      <c r="G36" s="75"/>
      <c r="H36" s="75" t="s">
        <v>11</v>
      </c>
      <c r="I36" s="75"/>
      <c r="J36" s="75"/>
      <c r="K36" s="75"/>
      <c r="L36" s="75" t="s">
        <v>12</v>
      </c>
      <c r="M36" s="75"/>
      <c r="N36" s="75"/>
      <c r="O36" s="75"/>
      <c r="P36" s="71"/>
      <c r="Q36" s="88"/>
    </row>
    <row r="37" spans="1:17" x14ac:dyDescent="0.3">
      <c r="A37" s="71"/>
      <c r="B37" s="91"/>
      <c r="C37" s="73"/>
      <c r="D37" s="29" t="s">
        <v>5</v>
      </c>
      <c r="E37" s="29" t="s">
        <v>7</v>
      </c>
      <c r="F37" s="29" t="s">
        <v>8</v>
      </c>
      <c r="G37" s="29" t="s">
        <v>10</v>
      </c>
      <c r="H37" s="29" t="s">
        <v>5</v>
      </c>
      <c r="I37" s="29" t="s">
        <v>7</v>
      </c>
      <c r="J37" s="29" t="s">
        <v>8</v>
      </c>
      <c r="K37" s="29" t="s">
        <v>10</v>
      </c>
      <c r="L37" s="29" t="s">
        <v>5</v>
      </c>
      <c r="M37" s="29" t="s">
        <v>7</v>
      </c>
      <c r="N37" s="29" t="s">
        <v>8</v>
      </c>
      <c r="O37" s="29" t="s">
        <v>10</v>
      </c>
      <c r="P37" s="72"/>
      <c r="Q37" s="89"/>
    </row>
    <row r="38" spans="1:17" ht="15" customHeight="1" x14ac:dyDescent="0.3">
      <c r="A38" s="71"/>
      <c r="B38" s="91"/>
      <c r="C38" s="32" t="s">
        <v>13</v>
      </c>
      <c r="D38" s="1">
        <v>18</v>
      </c>
      <c r="E38" s="1">
        <v>19</v>
      </c>
      <c r="F38" s="1">
        <v>21</v>
      </c>
      <c r="G38" s="1">
        <v>20</v>
      </c>
      <c r="H38" s="1">
        <v>22</v>
      </c>
      <c r="I38" s="1">
        <v>27</v>
      </c>
      <c r="J38" s="1">
        <v>19</v>
      </c>
      <c r="K38" s="1">
        <v>21</v>
      </c>
      <c r="L38" s="1">
        <v>21</v>
      </c>
      <c r="M38" s="1">
        <v>24</v>
      </c>
      <c r="N38" s="1">
        <v>12</v>
      </c>
      <c r="O38" s="1">
        <v>21</v>
      </c>
      <c r="P38" s="33">
        <f>SUM(D38:O38)</f>
        <v>245</v>
      </c>
      <c r="Q38" s="63">
        <f>AVERAGE(D38:O38)</f>
        <v>20.416666666666668</v>
      </c>
    </row>
    <row r="39" spans="1:17" x14ac:dyDescent="0.3">
      <c r="A39" s="71"/>
      <c r="B39" s="91"/>
      <c r="C39" s="32" t="s">
        <v>14</v>
      </c>
      <c r="D39" s="2">
        <v>24</v>
      </c>
      <c r="E39" s="2">
        <v>22</v>
      </c>
      <c r="F39" s="2">
        <v>26</v>
      </c>
      <c r="G39" s="2">
        <v>25</v>
      </c>
      <c r="H39" s="2">
        <v>24</v>
      </c>
      <c r="I39" s="2">
        <v>25</v>
      </c>
      <c r="J39" s="2">
        <v>25</v>
      </c>
      <c r="K39" s="2">
        <v>24</v>
      </c>
      <c r="L39" s="2">
        <v>22</v>
      </c>
      <c r="M39" s="2">
        <v>24</v>
      </c>
      <c r="N39" s="2">
        <v>27</v>
      </c>
      <c r="O39" s="2">
        <v>25</v>
      </c>
      <c r="P39" s="33">
        <f t="shared" ref="P39:P47" si="8">SUM(D39:O39)</f>
        <v>293</v>
      </c>
      <c r="Q39" s="63">
        <f t="shared" ref="Q39:Q46" si="9">AVERAGE(D39:O39)</f>
        <v>24.416666666666668</v>
      </c>
    </row>
    <row r="40" spans="1:17" x14ac:dyDescent="0.3">
      <c r="A40" s="71"/>
      <c r="B40" s="91"/>
      <c r="C40" s="32" t="s">
        <v>15</v>
      </c>
      <c r="D40" s="2">
        <v>21</v>
      </c>
      <c r="E40" s="2">
        <v>26</v>
      </c>
      <c r="F40" s="2">
        <v>24</v>
      </c>
      <c r="G40" s="2">
        <v>27</v>
      </c>
      <c r="H40" s="2">
        <v>21</v>
      </c>
      <c r="I40" s="2">
        <v>23</v>
      </c>
      <c r="J40" s="2">
        <v>25</v>
      </c>
      <c r="K40" s="2">
        <v>25</v>
      </c>
      <c r="L40" s="2">
        <v>25</v>
      </c>
      <c r="M40" s="2">
        <v>23</v>
      </c>
      <c r="N40" s="2">
        <v>24</v>
      </c>
      <c r="O40" s="2">
        <v>26</v>
      </c>
      <c r="P40" s="33">
        <f t="shared" si="8"/>
        <v>290</v>
      </c>
      <c r="Q40" s="63">
        <f t="shared" si="9"/>
        <v>24.166666666666668</v>
      </c>
    </row>
    <row r="41" spans="1:17" ht="15.5" x14ac:dyDescent="0.3">
      <c r="A41" s="71"/>
      <c r="B41" s="91"/>
      <c r="C41" s="32" t="s">
        <v>16</v>
      </c>
      <c r="D41" s="1">
        <v>15</v>
      </c>
      <c r="E41" s="1">
        <v>10</v>
      </c>
      <c r="F41" s="1">
        <v>16</v>
      </c>
      <c r="G41" s="1">
        <v>23</v>
      </c>
      <c r="H41" s="1">
        <v>18</v>
      </c>
      <c r="I41" s="1">
        <v>15</v>
      </c>
      <c r="J41" s="1">
        <v>17</v>
      </c>
      <c r="K41" s="1">
        <v>14</v>
      </c>
      <c r="L41" s="1">
        <v>12</v>
      </c>
      <c r="M41" s="1">
        <v>13</v>
      </c>
      <c r="N41" s="1">
        <v>12</v>
      </c>
      <c r="O41" s="1">
        <v>11</v>
      </c>
      <c r="P41" s="33">
        <f t="shared" si="8"/>
        <v>176</v>
      </c>
      <c r="Q41" s="63">
        <f t="shared" si="9"/>
        <v>14.666666666666666</v>
      </c>
    </row>
    <row r="42" spans="1:17" ht="15.5" x14ac:dyDescent="0.3">
      <c r="A42" s="71"/>
      <c r="B42" s="91"/>
      <c r="C42" s="32" t="s">
        <v>17</v>
      </c>
      <c r="D42" s="1">
        <v>14</v>
      </c>
      <c r="E42" s="1">
        <v>15</v>
      </c>
      <c r="F42" s="1">
        <v>11</v>
      </c>
      <c r="G42" s="1">
        <v>8</v>
      </c>
      <c r="H42" s="1">
        <v>12</v>
      </c>
      <c r="I42" s="1">
        <v>14</v>
      </c>
      <c r="J42" s="1">
        <v>14</v>
      </c>
      <c r="K42" s="1">
        <v>16</v>
      </c>
      <c r="L42" s="1">
        <v>13</v>
      </c>
      <c r="M42" s="1">
        <v>14</v>
      </c>
      <c r="N42" s="1">
        <v>13</v>
      </c>
      <c r="O42" s="1">
        <v>12</v>
      </c>
      <c r="P42" s="33">
        <f t="shared" si="8"/>
        <v>156</v>
      </c>
      <c r="Q42" s="63">
        <f t="shared" si="9"/>
        <v>13</v>
      </c>
    </row>
    <row r="43" spans="1:17" ht="15.5" x14ac:dyDescent="0.3">
      <c r="A43" s="71"/>
      <c r="B43" s="91"/>
      <c r="C43" s="32" t="s">
        <v>18</v>
      </c>
      <c r="D43" s="1">
        <v>11</v>
      </c>
      <c r="E43" s="1">
        <v>11</v>
      </c>
      <c r="F43" s="1">
        <v>19</v>
      </c>
      <c r="G43" s="1">
        <v>20</v>
      </c>
      <c r="H43" s="1">
        <v>12</v>
      </c>
      <c r="I43" s="1">
        <v>21</v>
      </c>
      <c r="J43" s="1">
        <v>14</v>
      </c>
      <c r="K43" s="1">
        <v>13</v>
      </c>
      <c r="L43" s="1">
        <v>12</v>
      </c>
      <c r="M43" s="1">
        <v>12</v>
      </c>
      <c r="N43" s="1">
        <v>14</v>
      </c>
      <c r="O43" s="1">
        <v>16</v>
      </c>
      <c r="P43" s="33">
        <f t="shared" si="8"/>
        <v>175</v>
      </c>
      <c r="Q43" s="63">
        <f t="shared" si="9"/>
        <v>14.583333333333334</v>
      </c>
    </row>
    <row r="44" spans="1:17" ht="15.5" x14ac:dyDescent="0.3">
      <c r="A44" s="71"/>
      <c r="B44" s="91"/>
      <c r="C44" s="32" t="s">
        <v>19</v>
      </c>
      <c r="D44" s="1">
        <v>17</v>
      </c>
      <c r="E44" s="1">
        <v>20</v>
      </c>
      <c r="F44" s="1">
        <v>20</v>
      </c>
      <c r="G44" s="1">
        <v>16</v>
      </c>
      <c r="H44" s="1">
        <v>14</v>
      </c>
      <c r="I44" s="1">
        <v>22</v>
      </c>
      <c r="J44" s="1">
        <v>21</v>
      </c>
      <c r="K44" s="1">
        <v>28</v>
      </c>
      <c r="L44" s="1">
        <v>21</v>
      </c>
      <c r="M44" s="1">
        <v>18</v>
      </c>
      <c r="N44" s="1">
        <v>23</v>
      </c>
      <c r="O44" s="1">
        <v>25</v>
      </c>
      <c r="P44" s="33">
        <f t="shared" si="8"/>
        <v>245</v>
      </c>
      <c r="Q44" s="63">
        <f t="shared" si="9"/>
        <v>20.416666666666668</v>
      </c>
    </row>
    <row r="45" spans="1:17" ht="15.5" x14ac:dyDescent="0.3">
      <c r="A45" s="71"/>
      <c r="B45" s="91"/>
      <c r="C45" s="32" t="s">
        <v>20</v>
      </c>
      <c r="D45" s="1">
        <v>26</v>
      </c>
      <c r="E45" s="1">
        <v>23</v>
      </c>
      <c r="F45" s="1">
        <v>19</v>
      </c>
      <c r="G45" s="1">
        <v>10</v>
      </c>
      <c r="H45" s="1">
        <v>18</v>
      </c>
      <c r="I45" s="1">
        <v>13</v>
      </c>
      <c r="J45" s="1">
        <v>25</v>
      </c>
      <c r="K45" s="1">
        <v>22</v>
      </c>
      <c r="L45" s="1">
        <v>20</v>
      </c>
      <c r="M45" s="1">
        <v>19</v>
      </c>
      <c r="N45" s="1">
        <v>29</v>
      </c>
      <c r="O45" s="1">
        <v>21</v>
      </c>
      <c r="P45" s="33">
        <f t="shared" si="8"/>
        <v>245</v>
      </c>
      <c r="Q45" s="63">
        <f t="shared" si="9"/>
        <v>20.416666666666668</v>
      </c>
    </row>
    <row r="46" spans="1:17" ht="15.5" x14ac:dyDescent="0.3">
      <c r="A46" s="71"/>
      <c r="B46" s="91"/>
      <c r="C46" s="32" t="s">
        <v>21</v>
      </c>
      <c r="D46" s="1">
        <v>19</v>
      </c>
      <c r="E46" s="1">
        <v>21</v>
      </c>
      <c r="F46" s="1">
        <v>32</v>
      </c>
      <c r="G46" s="1">
        <v>18</v>
      </c>
      <c r="H46" s="1">
        <v>23</v>
      </c>
      <c r="I46" s="1">
        <v>19</v>
      </c>
      <c r="J46" s="1">
        <v>18</v>
      </c>
      <c r="K46" s="1">
        <v>25</v>
      </c>
      <c r="L46" s="1">
        <v>20</v>
      </c>
      <c r="M46" s="1">
        <v>18</v>
      </c>
      <c r="N46" s="1">
        <v>32</v>
      </c>
      <c r="O46" s="1">
        <v>20</v>
      </c>
      <c r="P46" s="33">
        <f t="shared" si="8"/>
        <v>265</v>
      </c>
      <c r="Q46" s="63">
        <f t="shared" si="9"/>
        <v>22.083333333333332</v>
      </c>
    </row>
    <row r="47" spans="1:17" x14ac:dyDescent="0.3">
      <c r="A47" s="71"/>
      <c r="B47" s="91"/>
      <c r="C47" s="31" t="s">
        <v>48</v>
      </c>
      <c r="D47" s="34">
        <f>SUM(D38:D46)</f>
        <v>165</v>
      </c>
      <c r="E47" s="34">
        <f t="shared" ref="E47:O47" si="10">SUM(E38:E46)</f>
        <v>167</v>
      </c>
      <c r="F47" s="34">
        <f t="shared" si="10"/>
        <v>188</v>
      </c>
      <c r="G47" s="34">
        <f t="shared" si="10"/>
        <v>167</v>
      </c>
      <c r="H47" s="34">
        <f t="shared" si="10"/>
        <v>164</v>
      </c>
      <c r="I47" s="34">
        <f t="shared" si="10"/>
        <v>179</v>
      </c>
      <c r="J47" s="34">
        <f t="shared" si="10"/>
        <v>178</v>
      </c>
      <c r="K47" s="34">
        <f t="shared" si="10"/>
        <v>188</v>
      </c>
      <c r="L47" s="34">
        <f t="shared" si="10"/>
        <v>166</v>
      </c>
      <c r="M47" s="34">
        <f t="shared" si="10"/>
        <v>165</v>
      </c>
      <c r="N47" s="34">
        <f t="shared" si="10"/>
        <v>186</v>
      </c>
      <c r="O47" s="34">
        <f t="shared" si="10"/>
        <v>177</v>
      </c>
      <c r="P47" s="33">
        <f t="shared" si="8"/>
        <v>2090</v>
      </c>
      <c r="Q47" s="63"/>
    </row>
    <row r="48" spans="1:17" x14ac:dyDescent="0.3">
      <c r="A48" s="72"/>
      <c r="B48" s="92"/>
      <c r="C48" s="31" t="s">
        <v>47</v>
      </c>
      <c r="D48" s="63">
        <f>AVERAGE(D38:D46)</f>
        <v>18.333333333333332</v>
      </c>
      <c r="E48" s="63">
        <f t="shared" ref="E48:O48" si="11">AVERAGE(E38:E46)</f>
        <v>18.555555555555557</v>
      </c>
      <c r="F48" s="63">
        <f t="shared" si="11"/>
        <v>20.888888888888889</v>
      </c>
      <c r="G48" s="63">
        <f t="shared" si="11"/>
        <v>18.555555555555557</v>
      </c>
      <c r="H48" s="63">
        <f t="shared" si="11"/>
        <v>18.222222222222221</v>
      </c>
      <c r="I48" s="63">
        <f t="shared" si="11"/>
        <v>19.888888888888889</v>
      </c>
      <c r="J48" s="63">
        <f t="shared" si="11"/>
        <v>19.777777777777779</v>
      </c>
      <c r="K48" s="63">
        <f t="shared" si="11"/>
        <v>20.888888888888889</v>
      </c>
      <c r="L48" s="63">
        <f t="shared" si="11"/>
        <v>18.444444444444443</v>
      </c>
      <c r="M48" s="63">
        <f t="shared" si="11"/>
        <v>18.333333333333332</v>
      </c>
      <c r="N48" s="63">
        <f t="shared" si="11"/>
        <v>20.666666666666668</v>
      </c>
      <c r="O48" s="63">
        <f t="shared" si="11"/>
        <v>19.666666666666668</v>
      </c>
      <c r="P48" s="2"/>
      <c r="Q48" s="63"/>
    </row>
    <row r="49" spans="1:17" x14ac:dyDescent="0.3">
      <c r="Q49" s="55"/>
    </row>
    <row r="50" spans="1:17" x14ac:dyDescent="0.3">
      <c r="Q50" s="55"/>
    </row>
    <row r="51" spans="1:17" x14ac:dyDescent="0.3">
      <c r="A51" s="3" t="s">
        <v>29</v>
      </c>
      <c r="B51" s="3" t="s">
        <v>35</v>
      </c>
      <c r="C51" s="73" t="s">
        <v>2</v>
      </c>
      <c r="D51" s="75" t="s">
        <v>3</v>
      </c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0" t="s">
        <v>48</v>
      </c>
      <c r="Q51" s="87" t="s">
        <v>47</v>
      </c>
    </row>
    <row r="52" spans="1:17" x14ac:dyDescent="0.3">
      <c r="A52" s="70">
        <v>6</v>
      </c>
      <c r="B52" s="90" t="s">
        <v>54</v>
      </c>
      <c r="C52" s="73"/>
      <c r="D52" s="75" t="s">
        <v>4</v>
      </c>
      <c r="E52" s="75"/>
      <c r="F52" s="75"/>
      <c r="G52" s="75"/>
      <c r="H52" s="75" t="s">
        <v>11</v>
      </c>
      <c r="I52" s="75"/>
      <c r="J52" s="75"/>
      <c r="K52" s="75"/>
      <c r="L52" s="75" t="s">
        <v>12</v>
      </c>
      <c r="M52" s="75"/>
      <c r="N52" s="75"/>
      <c r="O52" s="75"/>
      <c r="P52" s="71"/>
      <c r="Q52" s="88"/>
    </row>
    <row r="53" spans="1:17" x14ac:dyDescent="0.3">
      <c r="A53" s="71"/>
      <c r="B53" s="91"/>
      <c r="C53" s="73"/>
      <c r="D53" s="29" t="s">
        <v>5</v>
      </c>
      <c r="E53" s="29" t="s">
        <v>7</v>
      </c>
      <c r="F53" s="29" t="s">
        <v>8</v>
      </c>
      <c r="G53" s="29" t="s">
        <v>10</v>
      </c>
      <c r="H53" s="29" t="s">
        <v>5</v>
      </c>
      <c r="I53" s="29" t="s">
        <v>7</v>
      </c>
      <c r="J53" s="29" t="s">
        <v>8</v>
      </c>
      <c r="K53" s="29" t="s">
        <v>10</v>
      </c>
      <c r="L53" s="29" t="s">
        <v>5</v>
      </c>
      <c r="M53" s="29" t="s">
        <v>7</v>
      </c>
      <c r="N53" s="29" t="s">
        <v>8</v>
      </c>
      <c r="O53" s="29" t="s">
        <v>10</v>
      </c>
      <c r="P53" s="72"/>
      <c r="Q53" s="89"/>
    </row>
    <row r="54" spans="1:17" ht="15.5" x14ac:dyDescent="0.3">
      <c r="A54" s="71"/>
      <c r="B54" s="91"/>
      <c r="C54" s="32" t="s">
        <v>13</v>
      </c>
      <c r="D54" s="1">
        <v>15</v>
      </c>
      <c r="E54" s="1">
        <v>21</v>
      </c>
      <c r="F54" s="1">
        <v>20</v>
      </c>
      <c r="G54" s="1">
        <v>21</v>
      </c>
      <c r="H54" s="1">
        <v>25</v>
      </c>
      <c r="I54" s="1">
        <v>25</v>
      </c>
      <c r="J54" s="1">
        <v>15</v>
      </c>
      <c r="K54" s="1">
        <v>20</v>
      </c>
      <c r="L54" s="1">
        <v>20</v>
      </c>
      <c r="M54" s="1">
        <v>24</v>
      </c>
      <c r="N54" s="1">
        <v>12</v>
      </c>
      <c r="O54" s="1">
        <v>22</v>
      </c>
      <c r="P54" s="33">
        <f>SUM(D54:O54)</f>
        <v>240</v>
      </c>
      <c r="Q54" s="63">
        <f>AVERAGE(D54:O54)</f>
        <v>20</v>
      </c>
    </row>
    <row r="55" spans="1:17" ht="14.5" customHeight="1" x14ac:dyDescent="0.3">
      <c r="A55" s="71"/>
      <c r="B55" s="91"/>
      <c r="C55" s="32" t="s">
        <v>14</v>
      </c>
      <c r="D55" s="2">
        <v>23</v>
      </c>
      <c r="E55" s="2">
        <v>24</v>
      </c>
      <c r="F55" s="2">
        <v>25</v>
      </c>
      <c r="G55" s="2">
        <v>26</v>
      </c>
      <c r="H55" s="2">
        <v>25</v>
      </c>
      <c r="I55" s="2">
        <v>26</v>
      </c>
      <c r="J55" s="2">
        <v>25</v>
      </c>
      <c r="K55" s="2">
        <v>25</v>
      </c>
      <c r="L55" s="2">
        <v>24</v>
      </c>
      <c r="M55" s="2">
        <v>27</v>
      </c>
      <c r="N55" s="2">
        <v>26</v>
      </c>
      <c r="O55" s="2">
        <v>25</v>
      </c>
      <c r="P55" s="33">
        <f t="shared" ref="P55:P62" si="12">SUM(D55:O55)</f>
        <v>301</v>
      </c>
      <c r="Q55" s="63">
        <f t="shared" ref="Q55:Q61" si="13">AVERAGE(D55:O55)</f>
        <v>25.083333333333332</v>
      </c>
    </row>
    <row r="56" spans="1:17" x14ac:dyDescent="0.3">
      <c r="A56" s="71"/>
      <c r="B56" s="91"/>
      <c r="C56" s="32" t="s">
        <v>15</v>
      </c>
      <c r="D56" s="2">
        <v>23</v>
      </c>
      <c r="E56" s="2">
        <v>26</v>
      </c>
      <c r="F56" s="2">
        <v>25</v>
      </c>
      <c r="G56" s="2">
        <v>27</v>
      </c>
      <c r="H56" s="2">
        <v>23</v>
      </c>
      <c r="I56" s="2">
        <v>24</v>
      </c>
      <c r="J56" s="2">
        <v>27</v>
      </c>
      <c r="K56" s="2">
        <v>24</v>
      </c>
      <c r="L56" s="2">
        <v>25</v>
      </c>
      <c r="M56" s="2">
        <v>25</v>
      </c>
      <c r="N56" s="2">
        <v>26</v>
      </c>
      <c r="O56" s="2">
        <v>25</v>
      </c>
      <c r="P56" s="33">
        <f t="shared" si="12"/>
        <v>300</v>
      </c>
      <c r="Q56" s="63">
        <f t="shared" si="13"/>
        <v>25</v>
      </c>
    </row>
    <row r="57" spans="1:17" ht="15.5" x14ac:dyDescent="0.3">
      <c r="A57" s="71"/>
      <c r="B57" s="91"/>
      <c r="C57" s="32" t="s">
        <v>16</v>
      </c>
      <c r="D57" s="1">
        <v>16</v>
      </c>
      <c r="E57" s="1">
        <v>11</v>
      </c>
      <c r="F57" s="1">
        <v>16</v>
      </c>
      <c r="G57" s="1">
        <v>21</v>
      </c>
      <c r="H57" s="1">
        <v>18</v>
      </c>
      <c r="I57" s="1">
        <v>16</v>
      </c>
      <c r="J57" s="1">
        <v>17</v>
      </c>
      <c r="K57" s="1">
        <v>15</v>
      </c>
      <c r="L57" s="1">
        <v>13</v>
      </c>
      <c r="M57" s="1">
        <v>14</v>
      </c>
      <c r="N57" s="1">
        <v>13</v>
      </c>
      <c r="O57" s="1">
        <v>12</v>
      </c>
      <c r="P57" s="33">
        <f t="shared" si="12"/>
        <v>182</v>
      </c>
      <c r="Q57" s="63">
        <f t="shared" si="13"/>
        <v>15.166666666666666</v>
      </c>
    </row>
    <row r="58" spans="1:17" ht="15.5" x14ac:dyDescent="0.3">
      <c r="A58" s="71"/>
      <c r="B58" s="91"/>
      <c r="C58" s="32" t="s">
        <v>17</v>
      </c>
      <c r="D58" s="1">
        <v>15</v>
      </c>
      <c r="E58" s="1">
        <v>16</v>
      </c>
      <c r="F58" s="1">
        <v>12</v>
      </c>
      <c r="G58" s="1">
        <v>10</v>
      </c>
      <c r="H58" s="1">
        <v>14</v>
      </c>
      <c r="I58" s="1">
        <v>14</v>
      </c>
      <c r="J58" s="1">
        <v>15</v>
      </c>
      <c r="K58" s="1">
        <v>17</v>
      </c>
      <c r="L58" s="1">
        <v>14</v>
      </c>
      <c r="M58" s="1">
        <v>15</v>
      </c>
      <c r="N58" s="1">
        <v>14</v>
      </c>
      <c r="O58" s="1">
        <v>12</v>
      </c>
      <c r="P58" s="33">
        <f t="shared" si="12"/>
        <v>168</v>
      </c>
      <c r="Q58" s="63">
        <f t="shared" si="13"/>
        <v>14</v>
      </c>
    </row>
    <row r="59" spans="1:17" ht="15.5" x14ac:dyDescent="0.3">
      <c r="A59" s="71"/>
      <c r="B59" s="91"/>
      <c r="C59" s="32" t="s">
        <v>18</v>
      </c>
      <c r="D59" s="1">
        <v>13</v>
      </c>
      <c r="E59" s="1">
        <v>12</v>
      </c>
      <c r="F59" s="1">
        <v>20</v>
      </c>
      <c r="G59" s="1">
        <v>20</v>
      </c>
      <c r="H59" s="1">
        <v>13</v>
      </c>
      <c r="I59" s="1">
        <v>22</v>
      </c>
      <c r="J59" s="1">
        <v>15</v>
      </c>
      <c r="K59" s="1">
        <v>15</v>
      </c>
      <c r="L59" s="1">
        <v>12</v>
      </c>
      <c r="M59" s="1">
        <v>13</v>
      </c>
      <c r="N59" s="1">
        <v>14</v>
      </c>
      <c r="O59" s="1">
        <v>17</v>
      </c>
      <c r="P59" s="33">
        <f t="shared" si="12"/>
        <v>186</v>
      </c>
      <c r="Q59" s="63">
        <f t="shared" si="13"/>
        <v>15.5</v>
      </c>
    </row>
    <row r="60" spans="1:17" ht="15.5" x14ac:dyDescent="0.3">
      <c r="A60" s="71"/>
      <c r="B60" s="91"/>
      <c r="C60" s="32" t="s">
        <v>19</v>
      </c>
      <c r="D60" s="1">
        <v>18</v>
      </c>
      <c r="E60" s="1">
        <v>22</v>
      </c>
      <c r="F60" s="1">
        <v>22</v>
      </c>
      <c r="G60" s="1">
        <v>17</v>
      </c>
      <c r="H60" s="1">
        <v>15</v>
      </c>
      <c r="I60" s="1">
        <v>24</v>
      </c>
      <c r="J60" s="1">
        <v>20</v>
      </c>
      <c r="K60" s="1">
        <v>26</v>
      </c>
      <c r="L60" s="1">
        <v>23</v>
      </c>
      <c r="M60" s="1">
        <v>19</v>
      </c>
      <c r="N60" s="1">
        <v>21</v>
      </c>
      <c r="O60" s="1">
        <v>22</v>
      </c>
      <c r="P60" s="33">
        <f t="shared" si="12"/>
        <v>249</v>
      </c>
      <c r="Q60" s="63">
        <f t="shared" si="13"/>
        <v>20.75</v>
      </c>
    </row>
    <row r="61" spans="1:17" ht="15.5" x14ac:dyDescent="0.3">
      <c r="A61" s="71"/>
      <c r="B61" s="91"/>
      <c r="C61" s="32" t="s">
        <v>20</v>
      </c>
      <c r="D61" s="1">
        <v>26</v>
      </c>
      <c r="E61" s="1">
        <v>25</v>
      </c>
      <c r="F61" s="1">
        <v>21</v>
      </c>
      <c r="G61" s="1">
        <v>15</v>
      </c>
      <c r="H61" s="1">
        <v>19</v>
      </c>
      <c r="I61" s="1">
        <v>17</v>
      </c>
      <c r="J61" s="1">
        <v>26</v>
      </c>
      <c r="K61" s="1">
        <v>25</v>
      </c>
      <c r="L61" s="1">
        <v>24</v>
      </c>
      <c r="M61" s="1">
        <v>12</v>
      </c>
      <c r="N61" s="1">
        <v>22</v>
      </c>
      <c r="O61" s="1">
        <v>11</v>
      </c>
      <c r="P61" s="33">
        <f t="shared" si="12"/>
        <v>243</v>
      </c>
      <c r="Q61" s="63">
        <f t="shared" si="13"/>
        <v>20.25</v>
      </c>
    </row>
    <row r="62" spans="1:17" ht="15.5" x14ac:dyDescent="0.3">
      <c r="A62" s="71"/>
      <c r="B62" s="91"/>
      <c r="C62" s="32" t="s">
        <v>21</v>
      </c>
      <c r="D62" s="1">
        <v>20</v>
      </c>
      <c r="E62" s="1">
        <v>22</v>
      </c>
      <c r="F62" s="1">
        <v>34</v>
      </c>
      <c r="G62" s="1">
        <v>20</v>
      </c>
      <c r="H62" s="1">
        <v>25</v>
      </c>
      <c r="I62" s="1">
        <v>19</v>
      </c>
      <c r="J62" s="1">
        <v>20</v>
      </c>
      <c r="K62" s="1">
        <v>26</v>
      </c>
      <c r="L62" s="1">
        <v>29</v>
      </c>
      <c r="M62" s="1">
        <v>21</v>
      </c>
      <c r="N62" s="1">
        <v>20</v>
      </c>
      <c r="O62" s="1">
        <v>19</v>
      </c>
      <c r="P62" s="33">
        <f t="shared" si="12"/>
        <v>275</v>
      </c>
      <c r="Q62" s="63">
        <f>AVERAGE(D62:O62)</f>
        <v>22.916666666666668</v>
      </c>
    </row>
    <row r="63" spans="1:17" x14ac:dyDescent="0.3">
      <c r="A63" s="71"/>
      <c r="B63" s="91"/>
      <c r="C63" s="31" t="s">
        <v>48</v>
      </c>
      <c r="D63" s="34">
        <f>SUM(D54:D62)</f>
        <v>169</v>
      </c>
      <c r="E63" s="34">
        <f t="shared" ref="E63:O63" si="14">SUM(E54:E62)</f>
        <v>179</v>
      </c>
      <c r="F63" s="34">
        <f t="shared" si="14"/>
        <v>195</v>
      </c>
      <c r="G63" s="34">
        <f t="shared" si="14"/>
        <v>177</v>
      </c>
      <c r="H63" s="34">
        <f t="shared" si="14"/>
        <v>177</v>
      </c>
      <c r="I63" s="34">
        <f t="shared" si="14"/>
        <v>187</v>
      </c>
      <c r="J63" s="34">
        <f t="shared" si="14"/>
        <v>180</v>
      </c>
      <c r="K63" s="34">
        <f t="shared" si="14"/>
        <v>193</v>
      </c>
      <c r="L63" s="34">
        <f t="shared" si="14"/>
        <v>184</v>
      </c>
      <c r="M63" s="34">
        <f t="shared" si="14"/>
        <v>170</v>
      </c>
      <c r="N63" s="34">
        <f t="shared" si="14"/>
        <v>168</v>
      </c>
      <c r="O63" s="34">
        <f t="shared" si="14"/>
        <v>165</v>
      </c>
      <c r="P63" s="33">
        <f>SUM(D63:O63)</f>
        <v>2144</v>
      </c>
      <c r="Q63" s="63"/>
    </row>
    <row r="64" spans="1:17" x14ac:dyDescent="0.3">
      <c r="A64" s="72"/>
      <c r="B64" s="92"/>
      <c r="C64" s="31" t="s">
        <v>47</v>
      </c>
      <c r="D64" s="63">
        <f>AVERAGE(D54:D62)</f>
        <v>18.777777777777779</v>
      </c>
      <c r="E64" s="63">
        <f t="shared" ref="E64:O64" si="15">AVERAGE(E54:E62)</f>
        <v>19.888888888888889</v>
      </c>
      <c r="F64" s="63">
        <f t="shared" si="15"/>
        <v>21.666666666666668</v>
      </c>
      <c r="G64" s="63">
        <f t="shared" si="15"/>
        <v>19.666666666666668</v>
      </c>
      <c r="H64" s="63">
        <f t="shared" si="15"/>
        <v>19.666666666666668</v>
      </c>
      <c r="I64" s="63">
        <f t="shared" si="15"/>
        <v>20.777777777777779</v>
      </c>
      <c r="J64" s="63">
        <f t="shared" si="15"/>
        <v>20</v>
      </c>
      <c r="K64" s="63">
        <f t="shared" si="15"/>
        <v>21.444444444444443</v>
      </c>
      <c r="L64" s="63">
        <f t="shared" si="15"/>
        <v>20.444444444444443</v>
      </c>
      <c r="M64" s="63">
        <f t="shared" si="15"/>
        <v>18.888888888888889</v>
      </c>
      <c r="N64" s="63">
        <f t="shared" si="15"/>
        <v>18.666666666666668</v>
      </c>
      <c r="O64" s="63">
        <f t="shared" si="15"/>
        <v>18.333333333333332</v>
      </c>
      <c r="P64" s="2"/>
      <c r="Q64" s="63"/>
    </row>
    <row r="65" spans="1:17" x14ac:dyDescent="0.3">
      <c r="Q65" s="55"/>
    </row>
    <row r="66" spans="1:17" x14ac:dyDescent="0.3">
      <c r="Q66" s="55"/>
    </row>
    <row r="67" spans="1:17" x14ac:dyDescent="0.3">
      <c r="A67" s="3" t="s">
        <v>29</v>
      </c>
      <c r="B67" s="3" t="s">
        <v>35</v>
      </c>
      <c r="C67" s="73" t="s">
        <v>2</v>
      </c>
      <c r="D67" s="75" t="s">
        <v>3</v>
      </c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0" t="s">
        <v>48</v>
      </c>
      <c r="Q67" s="87" t="s">
        <v>47</v>
      </c>
    </row>
    <row r="68" spans="1:17" x14ac:dyDescent="0.3">
      <c r="A68" s="70">
        <v>7</v>
      </c>
      <c r="B68" s="90" t="s">
        <v>55</v>
      </c>
      <c r="C68" s="73"/>
      <c r="D68" s="75" t="s">
        <v>4</v>
      </c>
      <c r="E68" s="75"/>
      <c r="F68" s="75"/>
      <c r="G68" s="75"/>
      <c r="H68" s="75" t="s">
        <v>11</v>
      </c>
      <c r="I68" s="75"/>
      <c r="J68" s="75"/>
      <c r="K68" s="75"/>
      <c r="L68" s="75" t="s">
        <v>12</v>
      </c>
      <c r="M68" s="75"/>
      <c r="N68" s="75"/>
      <c r="O68" s="75"/>
      <c r="P68" s="71"/>
      <c r="Q68" s="88"/>
    </row>
    <row r="69" spans="1:17" x14ac:dyDescent="0.3">
      <c r="A69" s="71"/>
      <c r="B69" s="91"/>
      <c r="C69" s="73"/>
      <c r="D69" s="29" t="s">
        <v>5</v>
      </c>
      <c r="E69" s="29" t="s">
        <v>7</v>
      </c>
      <c r="F69" s="29" t="s">
        <v>8</v>
      </c>
      <c r="G69" s="29" t="s">
        <v>10</v>
      </c>
      <c r="H69" s="29" t="s">
        <v>5</v>
      </c>
      <c r="I69" s="29" t="s">
        <v>7</v>
      </c>
      <c r="J69" s="29" t="s">
        <v>8</v>
      </c>
      <c r="K69" s="29" t="s">
        <v>10</v>
      </c>
      <c r="L69" s="29" t="s">
        <v>5</v>
      </c>
      <c r="M69" s="29" t="s">
        <v>7</v>
      </c>
      <c r="N69" s="29" t="s">
        <v>8</v>
      </c>
      <c r="O69" s="29" t="s">
        <v>10</v>
      </c>
      <c r="P69" s="72"/>
      <c r="Q69" s="89"/>
    </row>
    <row r="70" spans="1:17" ht="15.5" x14ac:dyDescent="0.3">
      <c r="A70" s="71"/>
      <c r="B70" s="91"/>
      <c r="C70" s="32" t="s">
        <v>13</v>
      </c>
      <c r="D70" s="1">
        <v>8</v>
      </c>
      <c r="E70" s="1">
        <v>23</v>
      </c>
      <c r="F70" s="1">
        <v>18</v>
      </c>
      <c r="G70" s="1">
        <v>22</v>
      </c>
      <c r="H70" s="1">
        <v>26</v>
      </c>
      <c r="I70" s="1">
        <v>18</v>
      </c>
      <c r="J70" s="1">
        <v>10</v>
      </c>
      <c r="K70" s="1">
        <v>18</v>
      </c>
      <c r="L70" s="1">
        <v>19</v>
      </c>
      <c r="M70" s="1">
        <v>22</v>
      </c>
      <c r="N70" s="1">
        <v>10</v>
      </c>
      <c r="O70" s="1">
        <v>24</v>
      </c>
      <c r="P70" s="33">
        <f>SUM(D70:O70)</f>
        <v>218</v>
      </c>
      <c r="Q70" s="63">
        <f>AVERAGE(D70:O70)</f>
        <v>18.166666666666668</v>
      </c>
    </row>
    <row r="71" spans="1:17" x14ac:dyDescent="0.3">
      <c r="A71" s="71"/>
      <c r="B71" s="91"/>
      <c r="C71" s="32" t="s">
        <v>14</v>
      </c>
      <c r="D71" s="2">
        <v>22</v>
      </c>
      <c r="E71" s="2">
        <v>23</v>
      </c>
      <c r="F71" s="2">
        <v>24</v>
      </c>
      <c r="G71" s="2">
        <v>25</v>
      </c>
      <c r="H71" s="2">
        <v>24</v>
      </c>
      <c r="I71" s="2">
        <v>25</v>
      </c>
      <c r="J71" s="2">
        <v>24</v>
      </c>
      <c r="K71" s="2">
        <v>23</v>
      </c>
      <c r="L71" s="2">
        <v>22</v>
      </c>
      <c r="M71" s="2">
        <v>24</v>
      </c>
      <c r="N71" s="2">
        <v>25</v>
      </c>
      <c r="O71" s="2">
        <v>24</v>
      </c>
      <c r="P71" s="33">
        <f t="shared" ref="P71:P79" si="16">SUM(D71:O71)</f>
        <v>285</v>
      </c>
      <c r="Q71" s="63">
        <f t="shared" ref="Q71:Q78" si="17">AVERAGE(D71:O71)</f>
        <v>23.75</v>
      </c>
    </row>
    <row r="72" spans="1:17" ht="15" customHeight="1" x14ac:dyDescent="0.3">
      <c r="A72" s="71"/>
      <c r="B72" s="91"/>
      <c r="C72" s="32" t="s">
        <v>15</v>
      </c>
      <c r="D72" s="2">
        <v>21</v>
      </c>
      <c r="E72" s="2">
        <v>25</v>
      </c>
      <c r="F72" s="2">
        <v>23</v>
      </c>
      <c r="G72" s="2">
        <v>26</v>
      </c>
      <c r="H72" s="2">
        <v>23</v>
      </c>
      <c r="I72" s="2">
        <v>25</v>
      </c>
      <c r="J72" s="2">
        <v>25</v>
      </c>
      <c r="K72" s="2">
        <v>23</v>
      </c>
      <c r="L72" s="2">
        <v>24</v>
      </c>
      <c r="M72" s="2">
        <v>23</v>
      </c>
      <c r="N72" s="2">
        <v>24</v>
      </c>
      <c r="O72" s="2">
        <v>24</v>
      </c>
      <c r="P72" s="33">
        <f t="shared" si="16"/>
        <v>286</v>
      </c>
      <c r="Q72" s="63">
        <f t="shared" si="17"/>
        <v>23.833333333333332</v>
      </c>
    </row>
    <row r="73" spans="1:17" ht="15.5" x14ac:dyDescent="0.3">
      <c r="A73" s="71"/>
      <c r="B73" s="91"/>
      <c r="C73" s="32" t="s">
        <v>16</v>
      </c>
      <c r="D73" s="1">
        <v>17</v>
      </c>
      <c r="E73" s="1">
        <v>13</v>
      </c>
      <c r="F73" s="1">
        <v>17</v>
      </c>
      <c r="G73" s="1">
        <v>22</v>
      </c>
      <c r="H73" s="1">
        <v>19</v>
      </c>
      <c r="I73" s="1">
        <v>18</v>
      </c>
      <c r="J73" s="1">
        <v>18</v>
      </c>
      <c r="K73" s="1">
        <v>17</v>
      </c>
      <c r="L73" s="1">
        <v>14</v>
      </c>
      <c r="M73" s="1">
        <v>15</v>
      </c>
      <c r="N73" s="1">
        <v>14</v>
      </c>
      <c r="O73" s="1">
        <v>13</v>
      </c>
      <c r="P73" s="33">
        <f t="shared" si="16"/>
        <v>197</v>
      </c>
      <c r="Q73" s="63">
        <f t="shared" si="17"/>
        <v>16.416666666666668</v>
      </c>
    </row>
    <row r="74" spans="1:17" ht="15.5" x14ac:dyDescent="0.3">
      <c r="A74" s="71"/>
      <c r="B74" s="91"/>
      <c r="C74" s="32" t="s">
        <v>17</v>
      </c>
      <c r="D74" s="1">
        <v>17</v>
      </c>
      <c r="E74" s="1">
        <v>18</v>
      </c>
      <c r="F74" s="1">
        <v>13</v>
      </c>
      <c r="G74" s="1">
        <v>13</v>
      </c>
      <c r="H74" s="1">
        <v>14</v>
      </c>
      <c r="I74" s="1">
        <v>15</v>
      </c>
      <c r="J74" s="1">
        <v>16</v>
      </c>
      <c r="K74" s="1">
        <v>17</v>
      </c>
      <c r="L74" s="1">
        <v>14</v>
      </c>
      <c r="M74" s="1">
        <v>15</v>
      </c>
      <c r="N74" s="1">
        <v>15</v>
      </c>
      <c r="O74" s="1">
        <v>13</v>
      </c>
      <c r="P74" s="33">
        <f t="shared" si="16"/>
        <v>180</v>
      </c>
      <c r="Q74" s="63">
        <f t="shared" si="17"/>
        <v>15</v>
      </c>
    </row>
    <row r="75" spans="1:17" ht="15.5" x14ac:dyDescent="0.3">
      <c r="A75" s="71"/>
      <c r="B75" s="91"/>
      <c r="C75" s="32" t="s">
        <v>18</v>
      </c>
      <c r="D75" s="1">
        <v>14</v>
      </c>
      <c r="E75" s="1">
        <v>13</v>
      </c>
      <c r="F75" s="1">
        <v>21</v>
      </c>
      <c r="G75" s="1">
        <v>20</v>
      </c>
      <c r="H75" s="1">
        <v>15</v>
      </c>
      <c r="I75" s="1">
        <v>23</v>
      </c>
      <c r="J75" s="1">
        <v>16</v>
      </c>
      <c r="K75" s="1">
        <v>17</v>
      </c>
      <c r="L75" s="1">
        <v>13</v>
      </c>
      <c r="M75" s="1">
        <v>14</v>
      </c>
      <c r="N75" s="1">
        <v>15</v>
      </c>
      <c r="O75" s="1">
        <v>19</v>
      </c>
      <c r="P75" s="33">
        <f t="shared" si="16"/>
        <v>200</v>
      </c>
      <c r="Q75" s="63">
        <f t="shared" si="17"/>
        <v>16.666666666666668</v>
      </c>
    </row>
    <row r="76" spans="1:17" ht="15.5" x14ac:dyDescent="0.3">
      <c r="A76" s="71"/>
      <c r="B76" s="91"/>
      <c r="C76" s="32" t="s">
        <v>19</v>
      </c>
      <c r="D76" s="1">
        <v>17</v>
      </c>
      <c r="E76" s="1">
        <v>20</v>
      </c>
      <c r="F76" s="1">
        <v>21</v>
      </c>
      <c r="G76" s="1">
        <v>16</v>
      </c>
      <c r="H76" s="1">
        <v>13</v>
      </c>
      <c r="I76" s="1">
        <v>20</v>
      </c>
      <c r="J76" s="1">
        <v>18</v>
      </c>
      <c r="K76" s="1">
        <v>23</v>
      </c>
      <c r="L76" s="1">
        <v>20</v>
      </c>
      <c r="M76" s="1">
        <v>17</v>
      </c>
      <c r="N76" s="1">
        <v>19</v>
      </c>
      <c r="O76" s="1">
        <v>22</v>
      </c>
      <c r="P76" s="33">
        <f t="shared" si="16"/>
        <v>226</v>
      </c>
      <c r="Q76" s="63">
        <f t="shared" si="17"/>
        <v>18.833333333333332</v>
      </c>
    </row>
    <row r="77" spans="1:17" ht="15.5" x14ac:dyDescent="0.3">
      <c r="A77" s="71"/>
      <c r="B77" s="91"/>
      <c r="C77" s="32" t="s">
        <v>20</v>
      </c>
      <c r="D77" s="1">
        <v>23</v>
      </c>
      <c r="E77" s="1">
        <v>24</v>
      </c>
      <c r="F77" s="1">
        <v>25</v>
      </c>
      <c r="G77" s="1">
        <v>16</v>
      </c>
      <c r="H77" s="1">
        <v>15</v>
      </c>
      <c r="I77" s="1">
        <v>15</v>
      </c>
      <c r="J77" s="1">
        <v>24</v>
      </c>
      <c r="K77" s="1">
        <v>24</v>
      </c>
      <c r="L77" s="1">
        <v>23</v>
      </c>
      <c r="M77" s="1">
        <v>15</v>
      </c>
      <c r="N77" s="1">
        <v>24</v>
      </c>
      <c r="O77" s="1">
        <v>12</v>
      </c>
      <c r="P77" s="33">
        <f t="shared" si="16"/>
        <v>240</v>
      </c>
      <c r="Q77" s="63">
        <f t="shared" si="17"/>
        <v>20</v>
      </c>
    </row>
    <row r="78" spans="1:17" ht="15.5" x14ac:dyDescent="0.3">
      <c r="A78" s="71"/>
      <c r="B78" s="91"/>
      <c r="C78" s="32" t="s">
        <v>21</v>
      </c>
      <c r="D78" s="1">
        <v>21</v>
      </c>
      <c r="E78" s="1">
        <v>21</v>
      </c>
      <c r="F78" s="1">
        <v>31</v>
      </c>
      <c r="G78" s="1">
        <v>19</v>
      </c>
      <c r="H78" s="1">
        <v>22</v>
      </c>
      <c r="I78" s="1">
        <v>20</v>
      </c>
      <c r="J78" s="1">
        <v>18</v>
      </c>
      <c r="K78" s="1">
        <v>23</v>
      </c>
      <c r="L78" s="1">
        <v>26</v>
      </c>
      <c r="M78" s="1">
        <v>20</v>
      </c>
      <c r="N78" s="1">
        <v>21</v>
      </c>
      <c r="O78" s="1">
        <v>15</v>
      </c>
      <c r="P78" s="33">
        <f t="shared" si="16"/>
        <v>257</v>
      </c>
      <c r="Q78" s="63">
        <f t="shared" si="17"/>
        <v>21.416666666666668</v>
      </c>
    </row>
    <row r="79" spans="1:17" x14ac:dyDescent="0.3">
      <c r="A79" s="71"/>
      <c r="B79" s="91"/>
      <c r="C79" s="31" t="s">
        <v>48</v>
      </c>
      <c r="D79" s="34">
        <f>SUM(D70:D78)</f>
        <v>160</v>
      </c>
      <c r="E79" s="34">
        <f t="shared" ref="E79:O79" si="18">SUM(E70:E78)</f>
        <v>180</v>
      </c>
      <c r="F79" s="34">
        <f t="shared" si="18"/>
        <v>193</v>
      </c>
      <c r="G79" s="34">
        <f t="shared" si="18"/>
        <v>179</v>
      </c>
      <c r="H79" s="34">
        <f t="shared" si="18"/>
        <v>171</v>
      </c>
      <c r="I79" s="34">
        <f t="shared" si="18"/>
        <v>179</v>
      </c>
      <c r="J79" s="34">
        <f t="shared" si="18"/>
        <v>169</v>
      </c>
      <c r="K79" s="34">
        <f t="shared" si="18"/>
        <v>185</v>
      </c>
      <c r="L79" s="34">
        <f t="shared" si="18"/>
        <v>175</v>
      </c>
      <c r="M79" s="34">
        <f t="shared" si="18"/>
        <v>165</v>
      </c>
      <c r="N79" s="34">
        <f t="shared" si="18"/>
        <v>167</v>
      </c>
      <c r="O79" s="34">
        <f t="shared" si="18"/>
        <v>166</v>
      </c>
      <c r="P79" s="33">
        <f t="shared" si="16"/>
        <v>2089</v>
      </c>
      <c r="Q79" s="63"/>
    </row>
    <row r="80" spans="1:17" x14ac:dyDescent="0.3">
      <c r="A80" s="72"/>
      <c r="B80" s="92"/>
      <c r="C80" s="31" t="s">
        <v>47</v>
      </c>
      <c r="D80" s="63">
        <f>AVERAGE(D70:D78)</f>
        <v>17.777777777777779</v>
      </c>
      <c r="E80" s="63">
        <f t="shared" ref="E80:O80" si="19">AVERAGE(E70:E78)</f>
        <v>20</v>
      </c>
      <c r="F80" s="63">
        <f t="shared" si="19"/>
        <v>21.444444444444443</v>
      </c>
      <c r="G80" s="63">
        <f t="shared" si="19"/>
        <v>19.888888888888889</v>
      </c>
      <c r="H80" s="63">
        <f t="shared" si="19"/>
        <v>19</v>
      </c>
      <c r="I80" s="63">
        <f t="shared" si="19"/>
        <v>19.888888888888889</v>
      </c>
      <c r="J80" s="63">
        <f t="shared" si="19"/>
        <v>18.777777777777779</v>
      </c>
      <c r="K80" s="63">
        <f t="shared" si="19"/>
        <v>20.555555555555557</v>
      </c>
      <c r="L80" s="63">
        <f t="shared" si="19"/>
        <v>19.444444444444443</v>
      </c>
      <c r="M80" s="63">
        <f t="shared" si="19"/>
        <v>18.333333333333332</v>
      </c>
      <c r="N80" s="63">
        <f t="shared" si="19"/>
        <v>18.555555555555557</v>
      </c>
      <c r="O80" s="63">
        <f t="shared" si="19"/>
        <v>18.444444444444443</v>
      </c>
      <c r="P80" s="41"/>
      <c r="Q80" s="63"/>
    </row>
    <row r="81" spans="1:17" x14ac:dyDescent="0.3">
      <c r="Q81" s="55"/>
    </row>
    <row r="82" spans="1:17" x14ac:dyDescent="0.3">
      <c r="Q82" s="55"/>
    </row>
    <row r="83" spans="1:17" x14ac:dyDescent="0.3">
      <c r="A83" s="3" t="s">
        <v>29</v>
      </c>
      <c r="B83" s="3" t="s">
        <v>35</v>
      </c>
      <c r="C83" s="73" t="s">
        <v>2</v>
      </c>
      <c r="D83" s="75" t="s">
        <v>3</v>
      </c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0" t="s">
        <v>48</v>
      </c>
      <c r="Q83" s="87" t="s">
        <v>47</v>
      </c>
    </row>
    <row r="84" spans="1:17" x14ac:dyDescent="0.3">
      <c r="A84" s="70">
        <v>8</v>
      </c>
      <c r="B84" s="90" t="s">
        <v>56</v>
      </c>
      <c r="C84" s="73"/>
      <c r="D84" s="75" t="s">
        <v>4</v>
      </c>
      <c r="E84" s="75"/>
      <c r="F84" s="75"/>
      <c r="G84" s="75"/>
      <c r="H84" s="75" t="s">
        <v>11</v>
      </c>
      <c r="I84" s="75"/>
      <c r="J84" s="75"/>
      <c r="K84" s="75"/>
      <c r="L84" s="75" t="s">
        <v>12</v>
      </c>
      <c r="M84" s="75"/>
      <c r="N84" s="75"/>
      <c r="O84" s="75"/>
      <c r="P84" s="71"/>
      <c r="Q84" s="88"/>
    </row>
    <row r="85" spans="1:17" x14ac:dyDescent="0.3">
      <c r="A85" s="71"/>
      <c r="B85" s="91"/>
      <c r="C85" s="73"/>
      <c r="D85" s="29" t="s">
        <v>5</v>
      </c>
      <c r="E85" s="29" t="s">
        <v>7</v>
      </c>
      <c r="F85" s="29" t="s">
        <v>8</v>
      </c>
      <c r="G85" s="29" t="s">
        <v>10</v>
      </c>
      <c r="H85" s="29" t="s">
        <v>5</v>
      </c>
      <c r="I85" s="29" t="s">
        <v>7</v>
      </c>
      <c r="J85" s="29" t="s">
        <v>8</v>
      </c>
      <c r="K85" s="29" t="s">
        <v>10</v>
      </c>
      <c r="L85" s="29" t="s">
        <v>5</v>
      </c>
      <c r="M85" s="29" t="s">
        <v>7</v>
      </c>
      <c r="N85" s="29" t="s">
        <v>8</v>
      </c>
      <c r="O85" s="29" t="s">
        <v>10</v>
      </c>
      <c r="P85" s="72"/>
      <c r="Q85" s="89"/>
    </row>
    <row r="86" spans="1:17" ht="15.5" x14ac:dyDescent="0.3">
      <c r="A86" s="71"/>
      <c r="B86" s="91"/>
      <c r="C86" s="32" t="s">
        <v>13</v>
      </c>
      <c r="D86" s="1">
        <v>12</v>
      </c>
      <c r="E86" s="1">
        <v>21</v>
      </c>
      <c r="F86" s="1">
        <v>22</v>
      </c>
      <c r="G86" s="1">
        <v>23</v>
      </c>
      <c r="H86" s="1">
        <v>25</v>
      </c>
      <c r="I86" s="1">
        <v>18</v>
      </c>
      <c r="J86" s="1">
        <v>11</v>
      </c>
      <c r="K86" s="1">
        <v>19</v>
      </c>
      <c r="L86" s="1">
        <v>20</v>
      </c>
      <c r="M86" s="1">
        <v>22</v>
      </c>
      <c r="N86" s="1">
        <v>11</v>
      </c>
      <c r="O86" s="1">
        <v>24</v>
      </c>
      <c r="P86" s="33">
        <f>SUM(D86:O86)</f>
        <v>228</v>
      </c>
      <c r="Q86" s="63">
        <f>AVERAGE(D86:O86)</f>
        <v>19</v>
      </c>
    </row>
    <row r="87" spans="1:17" x14ac:dyDescent="0.3">
      <c r="A87" s="71"/>
      <c r="B87" s="91"/>
      <c r="C87" s="32" t="s">
        <v>14</v>
      </c>
      <c r="D87" s="2">
        <v>22</v>
      </c>
      <c r="E87" s="2">
        <v>22</v>
      </c>
      <c r="F87" s="2">
        <v>23</v>
      </c>
      <c r="G87" s="2">
        <v>24</v>
      </c>
      <c r="H87" s="2">
        <v>22</v>
      </c>
      <c r="I87" s="2">
        <v>23</v>
      </c>
      <c r="J87" s="2">
        <v>22</v>
      </c>
      <c r="K87" s="2">
        <v>21</v>
      </c>
      <c r="L87" s="2">
        <v>20</v>
      </c>
      <c r="M87" s="2">
        <v>22</v>
      </c>
      <c r="N87" s="2">
        <v>24</v>
      </c>
      <c r="O87" s="2">
        <v>22</v>
      </c>
      <c r="P87" s="33">
        <f t="shared" ref="P87:P95" si="20">SUM(D87:O87)</f>
        <v>267</v>
      </c>
      <c r="Q87" s="63">
        <f t="shared" ref="Q87:Q94" si="21">AVERAGE(D87:O87)</f>
        <v>22.25</v>
      </c>
    </row>
    <row r="88" spans="1:17" x14ac:dyDescent="0.3">
      <c r="A88" s="71"/>
      <c r="B88" s="91"/>
      <c r="C88" s="32" t="s">
        <v>15</v>
      </c>
      <c r="D88" s="2">
        <v>21</v>
      </c>
      <c r="E88" s="2">
        <v>24</v>
      </c>
      <c r="F88" s="2">
        <v>22</v>
      </c>
      <c r="G88" s="2">
        <v>23</v>
      </c>
      <c r="H88" s="2">
        <v>21</v>
      </c>
      <c r="I88" s="2">
        <v>23</v>
      </c>
      <c r="J88" s="2">
        <v>23</v>
      </c>
      <c r="K88" s="2">
        <v>22</v>
      </c>
      <c r="L88" s="2">
        <v>24</v>
      </c>
      <c r="M88" s="2">
        <v>23</v>
      </c>
      <c r="N88" s="2">
        <v>23</v>
      </c>
      <c r="O88" s="2">
        <v>24</v>
      </c>
      <c r="P88" s="33">
        <f t="shared" si="20"/>
        <v>273</v>
      </c>
      <c r="Q88" s="63">
        <f t="shared" si="21"/>
        <v>22.75</v>
      </c>
    </row>
    <row r="89" spans="1:17" ht="14" customHeight="1" x14ac:dyDescent="0.3">
      <c r="A89" s="71"/>
      <c r="B89" s="91"/>
      <c r="C89" s="32" t="s">
        <v>16</v>
      </c>
      <c r="D89" s="1">
        <v>18</v>
      </c>
      <c r="E89" s="1">
        <v>16</v>
      </c>
      <c r="F89" s="1">
        <v>18</v>
      </c>
      <c r="G89" s="1">
        <v>23</v>
      </c>
      <c r="H89" s="1">
        <v>20</v>
      </c>
      <c r="I89" s="1">
        <v>19</v>
      </c>
      <c r="J89" s="1">
        <v>19</v>
      </c>
      <c r="K89" s="1">
        <v>18</v>
      </c>
      <c r="L89" s="1">
        <v>16</v>
      </c>
      <c r="M89" s="1">
        <v>17</v>
      </c>
      <c r="N89" s="1">
        <v>17</v>
      </c>
      <c r="O89" s="1">
        <v>16</v>
      </c>
      <c r="P89" s="33">
        <f t="shared" si="20"/>
        <v>217</v>
      </c>
      <c r="Q89" s="63">
        <f t="shared" si="21"/>
        <v>18.083333333333332</v>
      </c>
    </row>
    <row r="90" spans="1:17" ht="15.5" x14ac:dyDescent="0.3">
      <c r="A90" s="71"/>
      <c r="B90" s="91"/>
      <c r="C90" s="32" t="s">
        <v>17</v>
      </c>
      <c r="D90" s="1">
        <v>19</v>
      </c>
      <c r="E90" s="1">
        <v>19</v>
      </c>
      <c r="F90" s="1">
        <v>16</v>
      </c>
      <c r="G90" s="1">
        <v>16</v>
      </c>
      <c r="H90" s="1">
        <v>15</v>
      </c>
      <c r="I90" s="1">
        <v>16</v>
      </c>
      <c r="J90" s="1">
        <v>17</v>
      </c>
      <c r="K90" s="1">
        <v>17</v>
      </c>
      <c r="L90" s="1">
        <v>17</v>
      </c>
      <c r="M90" s="1">
        <v>17</v>
      </c>
      <c r="N90" s="1">
        <v>18</v>
      </c>
      <c r="O90" s="1">
        <v>15</v>
      </c>
      <c r="P90" s="33">
        <f t="shared" si="20"/>
        <v>202</v>
      </c>
      <c r="Q90" s="63">
        <f t="shared" si="21"/>
        <v>16.833333333333332</v>
      </c>
    </row>
    <row r="91" spans="1:17" ht="15.5" x14ac:dyDescent="0.3">
      <c r="A91" s="71"/>
      <c r="B91" s="91"/>
      <c r="C91" s="32" t="s">
        <v>18</v>
      </c>
      <c r="D91" s="1">
        <v>15</v>
      </c>
      <c r="E91" s="1">
        <v>15</v>
      </c>
      <c r="F91" s="1">
        <v>21</v>
      </c>
      <c r="G91" s="1">
        <v>21</v>
      </c>
      <c r="H91" s="1">
        <v>16</v>
      </c>
      <c r="I91" s="1">
        <v>23</v>
      </c>
      <c r="J91" s="1">
        <v>17</v>
      </c>
      <c r="K91" s="1">
        <v>18</v>
      </c>
      <c r="L91" s="1">
        <v>14</v>
      </c>
      <c r="M91" s="1">
        <v>17</v>
      </c>
      <c r="N91" s="1">
        <v>19</v>
      </c>
      <c r="O91" s="1">
        <v>20</v>
      </c>
      <c r="P91" s="33">
        <f t="shared" si="20"/>
        <v>216</v>
      </c>
      <c r="Q91" s="63">
        <f t="shared" si="21"/>
        <v>18</v>
      </c>
    </row>
    <row r="92" spans="1:17" ht="15.5" x14ac:dyDescent="0.3">
      <c r="A92" s="71"/>
      <c r="B92" s="91"/>
      <c r="C92" s="32" t="s">
        <v>19</v>
      </c>
      <c r="D92" s="1">
        <v>15</v>
      </c>
      <c r="E92" s="1">
        <v>20</v>
      </c>
      <c r="F92" s="1">
        <v>18</v>
      </c>
      <c r="G92" s="1">
        <v>14</v>
      </c>
      <c r="H92" s="1">
        <v>8</v>
      </c>
      <c r="I92" s="1">
        <v>18</v>
      </c>
      <c r="J92" s="1">
        <v>15</v>
      </c>
      <c r="K92" s="1">
        <v>19</v>
      </c>
      <c r="L92" s="1">
        <v>21</v>
      </c>
      <c r="M92" s="1">
        <v>13</v>
      </c>
      <c r="N92" s="1">
        <v>17</v>
      </c>
      <c r="O92" s="1">
        <v>19</v>
      </c>
      <c r="P92" s="33">
        <f t="shared" si="20"/>
        <v>197</v>
      </c>
      <c r="Q92" s="63">
        <f t="shared" si="21"/>
        <v>16.416666666666668</v>
      </c>
    </row>
    <row r="93" spans="1:17" ht="15.5" x14ac:dyDescent="0.3">
      <c r="A93" s="71"/>
      <c r="B93" s="91"/>
      <c r="C93" s="32" t="s">
        <v>20</v>
      </c>
      <c r="D93" s="1">
        <v>21</v>
      </c>
      <c r="E93" s="1">
        <v>23</v>
      </c>
      <c r="F93" s="1">
        <v>23</v>
      </c>
      <c r="G93" s="1">
        <v>14</v>
      </c>
      <c r="H93" s="1">
        <v>12</v>
      </c>
      <c r="I93" s="1">
        <v>16</v>
      </c>
      <c r="J93" s="1">
        <v>23</v>
      </c>
      <c r="K93" s="1">
        <v>22</v>
      </c>
      <c r="L93" s="1">
        <v>23</v>
      </c>
      <c r="M93" s="1">
        <v>14</v>
      </c>
      <c r="N93" s="1">
        <v>23</v>
      </c>
      <c r="O93" s="1">
        <v>11</v>
      </c>
      <c r="P93" s="33">
        <f t="shared" si="20"/>
        <v>225</v>
      </c>
      <c r="Q93" s="63">
        <f t="shared" si="21"/>
        <v>18.75</v>
      </c>
    </row>
    <row r="94" spans="1:17" ht="15.5" x14ac:dyDescent="0.3">
      <c r="A94" s="71"/>
      <c r="B94" s="91"/>
      <c r="C94" s="32" t="s">
        <v>21</v>
      </c>
      <c r="D94" s="1">
        <v>19</v>
      </c>
      <c r="E94" s="1">
        <v>21</v>
      </c>
      <c r="F94" s="1">
        <v>27</v>
      </c>
      <c r="G94" s="1">
        <v>19</v>
      </c>
      <c r="H94" s="1">
        <v>17</v>
      </c>
      <c r="I94" s="1">
        <v>19</v>
      </c>
      <c r="J94" s="1">
        <v>20</v>
      </c>
      <c r="K94" s="1">
        <v>26</v>
      </c>
      <c r="L94" s="1">
        <v>25</v>
      </c>
      <c r="M94" s="1">
        <v>21</v>
      </c>
      <c r="N94" s="1">
        <v>19</v>
      </c>
      <c r="O94" s="1">
        <v>11</v>
      </c>
      <c r="P94" s="33">
        <f t="shared" si="20"/>
        <v>244</v>
      </c>
      <c r="Q94" s="63">
        <f t="shared" si="21"/>
        <v>20.333333333333332</v>
      </c>
    </row>
    <row r="95" spans="1:17" x14ac:dyDescent="0.3">
      <c r="A95" s="71"/>
      <c r="B95" s="91"/>
      <c r="C95" s="31" t="s">
        <v>48</v>
      </c>
      <c r="D95" s="34">
        <f>SUM(D86:D94)</f>
        <v>162</v>
      </c>
      <c r="E95" s="34">
        <f t="shared" ref="E95:O95" si="22">SUM(E86:E94)</f>
        <v>181</v>
      </c>
      <c r="F95" s="34">
        <f t="shared" si="22"/>
        <v>190</v>
      </c>
      <c r="G95" s="34">
        <f t="shared" si="22"/>
        <v>177</v>
      </c>
      <c r="H95" s="34">
        <f t="shared" si="22"/>
        <v>156</v>
      </c>
      <c r="I95" s="34">
        <f t="shared" si="22"/>
        <v>175</v>
      </c>
      <c r="J95" s="34">
        <f t="shared" si="22"/>
        <v>167</v>
      </c>
      <c r="K95" s="34">
        <f t="shared" si="22"/>
        <v>182</v>
      </c>
      <c r="L95" s="34">
        <f t="shared" si="22"/>
        <v>180</v>
      </c>
      <c r="M95" s="34">
        <f t="shared" si="22"/>
        <v>166</v>
      </c>
      <c r="N95" s="34">
        <f t="shared" si="22"/>
        <v>171</v>
      </c>
      <c r="O95" s="34">
        <f t="shared" si="22"/>
        <v>162</v>
      </c>
      <c r="P95" s="33">
        <f t="shared" si="20"/>
        <v>2069</v>
      </c>
      <c r="Q95" s="63"/>
    </row>
    <row r="96" spans="1:17" x14ac:dyDescent="0.3">
      <c r="A96" s="72"/>
      <c r="B96" s="92"/>
      <c r="C96" s="31" t="s">
        <v>47</v>
      </c>
      <c r="D96" s="63">
        <f>AVERAGE(D86:D94)</f>
        <v>18</v>
      </c>
      <c r="E96" s="63">
        <f t="shared" ref="E96:O96" si="23">AVERAGE(E86:E94)</f>
        <v>20.111111111111111</v>
      </c>
      <c r="F96" s="63">
        <f t="shared" si="23"/>
        <v>21.111111111111111</v>
      </c>
      <c r="G96" s="63">
        <f t="shared" si="23"/>
        <v>19.666666666666668</v>
      </c>
      <c r="H96" s="63">
        <f t="shared" si="23"/>
        <v>17.333333333333332</v>
      </c>
      <c r="I96" s="63">
        <f t="shared" si="23"/>
        <v>19.444444444444443</v>
      </c>
      <c r="J96" s="63">
        <f t="shared" si="23"/>
        <v>18.555555555555557</v>
      </c>
      <c r="K96" s="63">
        <f t="shared" si="23"/>
        <v>20.222222222222221</v>
      </c>
      <c r="L96" s="63">
        <f t="shared" si="23"/>
        <v>20</v>
      </c>
      <c r="M96" s="63">
        <f t="shared" si="23"/>
        <v>18.444444444444443</v>
      </c>
      <c r="N96" s="63">
        <f t="shared" si="23"/>
        <v>19</v>
      </c>
      <c r="O96" s="63">
        <f t="shared" si="23"/>
        <v>18</v>
      </c>
      <c r="P96" s="2"/>
      <c r="Q96" s="63"/>
    </row>
    <row r="97" spans="1:17" x14ac:dyDescent="0.3">
      <c r="Q97" s="55"/>
    </row>
    <row r="98" spans="1:17" x14ac:dyDescent="0.3">
      <c r="Q98" s="55"/>
    </row>
    <row r="99" spans="1:17" x14ac:dyDescent="0.3">
      <c r="A99" s="3" t="s">
        <v>29</v>
      </c>
      <c r="B99" s="3" t="s">
        <v>35</v>
      </c>
      <c r="C99" s="73" t="s">
        <v>2</v>
      </c>
      <c r="D99" s="75" t="s">
        <v>3</v>
      </c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0" t="s">
        <v>48</v>
      </c>
      <c r="Q99" s="87" t="s">
        <v>47</v>
      </c>
    </row>
    <row r="100" spans="1:17" x14ac:dyDescent="0.3">
      <c r="A100" s="70">
        <v>9</v>
      </c>
      <c r="B100" s="90" t="s">
        <v>57</v>
      </c>
      <c r="C100" s="73"/>
      <c r="D100" s="75" t="s">
        <v>4</v>
      </c>
      <c r="E100" s="75"/>
      <c r="F100" s="75"/>
      <c r="G100" s="75"/>
      <c r="H100" s="75" t="s">
        <v>11</v>
      </c>
      <c r="I100" s="75"/>
      <c r="J100" s="75"/>
      <c r="K100" s="75"/>
      <c r="L100" s="75" t="s">
        <v>12</v>
      </c>
      <c r="M100" s="75"/>
      <c r="N100" s="75"/>
      <c r="O100" s="75"/>
      <c r="P100" s="71"/>
      <c r="Q100" s="88"/>
    </row>
    <row r="101" spans="1:17" x14ac:dyDescent="0.3">
      <c r="A101" s="71"/>
      <c r="B101" s="91"/>
      <c r="C101" s="73"/>
      <c r="D101" s="29" t="s">
        <v>5</v>
      </c>
      <c r="E101" s="29" t="s">
        <v>7</v>
      </c>
      <c r="F101" s="29" t="s">
        <v>8</v>
      </c>
      <c r="G101" s="29" t="s">
        <v>10</v>
      </c>
      <c r="H101" s="29" t="s">
        <v>5</v>
      </c>
      <c r="I101" s="29" t="s">
        <v>7</v>
      </c>
      <c r="J101" s="29" t="s">
        <v>8</v>
      </c>
      <c r="K101" s="29" t="s">
        <v>10</v>
      </c>
      <c r="L101" s="29" t="s">
        <v>5</v>
      </c>
      <c r="M101" s="29" t="s">
        <v>7</v>
      </c>
      <c r="N101" s="29" t="s">
        <v>8</v>
      </c>
      <c r="O101" s="29" t="s">
        <v>10</v>
      </c>
      <c r="P101" s="72"/>
      <c r="Q101" s="89"/>
    </row>
    <row r="102" spans="1:17" ht="15.5" x14ac:dyDescent="0.3">
      <c r="A102" s="71"/>
      <c r="B102" s="91"/>
      <c r="C102" s="32" t="s">
        <v>13</v>
      </c>
      <c r="D102" s="1">
        <v>14</v>
      </c>
      <c r="E102" s="1">
        <v>18</v>
      </c>
      <c r="F102" s="1">
        <v>24</v>
      </c>
      <c r="G102" s="1">
        <v>24</v>
      </c>
      <c r="H102" s="1">
        <v>22</v>
      </c>
      <c r="I102" s="1">
        <v>18</v>
      </c>
      <c r="J102" s="1">
        <v>11</v>
      </c>
      <c r="K102" s="1">
        <v>19</v>
      </c>
      <c r="L102" s="1">
        <v>21</v>
      </c>
      <c r="M102" s="1">
        <v>22</v>
      </c>
      <c r="N102" s="1">
        <v>11</v>
      </c>
      <c r="O102" s="1">
        <v>23</v>
      </c>
      <c r="P102" s="33">
        <f>SUM(D102:O102)</f>
        <v>227</v>
      </c>
      <c r="Q102" s="63">
        <f>AVERAGE(D102:O102)</f>
        <v>18.916666666666668</v>
      </c>
    </row>
    <row r="103" spans="1:17" x14ac:dyDescent="0.3">
      <c r="A103" s="71"/>
      <c r="B103" s="91"/>
      <c r="C103" s="32" t="s">
        <v>14</v>
      </c>
      <c r="D103" s="2">
        <v>21</v>
      </c>
      <c r="E103" s="2">
        <v>22</v>
      </c>
      <c r="F103" s="2">
        <v>21</v>
      </c>
      <c r="G103" s="2">
        <v>23</v>
      </c>
      <c r="H103" s="2">
        <v>22</v>
      </c>
      <c r="I103" s="2">
        <v>22</v>
      </c>
      <c r="J103" s="2">
        <v>22</v>
      </c>
      <c r="K103" s="2">
        <v>21</v>
      </c>
      <c r="L103" s="2">
        <v>19</v>
      </c>
      <c r="M103" s="2">
        <v>21</v>
      </c>
      <c r="N103" s="2">
        <v>21</v>
      </c>
      <c r="O103" s="2">
        <v>21</v>
      </c>
      <c r="P103" s="33">
        <f t="shared" ref="P103:P111" si="24">SUM(D103:O103)</f>
        <v>256</v>
      </c>
      <c r="Q103" s="63">
        <f t="shared" ref="Q103:Q110" si="25">AVERAGE(D103:O103)</f>
        <v>21.333333333333332</v>
      </c>
    </row>
    <row r="104" spans="1:17" x14ac:dyDescent="0.3">
      <c r="A104" s="71"/>
      <c r="B104" s="91"/>
      <c r="C104" s="32" t="s">
        <v>15</v>
      </c>
      <c r="D104" s="2">
        <v>20</v>
      </c>
      <c r="E104" s="2">
        <v>23</v>
      </c>
      <c r="F104" s="2">
        <v>22</v>
      </c>
      <c r="G104" s="2">
        <v>23</v>
      </c>
      <c r="H104" s="2">
        <v>21</v>
      </c>
      <c r="I104" s="2">
        <v>21</v>
      </c>
      <c r="J104" s="2">
        <v>23</v>
      </c>
      <c r="K104" s="2">
        <v>22</v>
      </c>
      <c r="L104" s="2">
        <v>22</v>
      </c>
      <c r="M104" s="2">
        <v>20</v>
      </c>
      <c r="N104" s="2">
        <v>19</v>
      </c>
      <c r="O104" s="2">
        <v>22</v>
      </c>
      <c r="P104" s="33">
        <f t="shared" si="24"/>
        <v>258</v>
      </c>
      <c r="Q104" s="63">
        <f t="shared" si="25"/>
        <v>21.5</v>
      </c>
    </row>
    <row r="105" spans="1:17" ht="15.5" x14ac:dyDescent="0.3">
      <c r="A105" s="71"/>
      <c r="B105" s="91"/>
      <c r="C105" s="32" t="s">
        <v>16</v>
      </c>
      <c r="D105" s="1">
        <v>18</v>
      </c>
      <c r="E105" s="1">
        <v>16</v>
      </c>
      <c r="F105" s="1">
        <v>18</v>
      </c>
      <c r="G105" s="1">
        <v>23</v>
      </c>
      <c r="H105" s="1">
        <v>20</v>
      </c>
      <c r="I105" s="1">
        <v>19</v>
      </c>
      <c r="J105" s="1">
        <v>19</v>
      </c>
      <c r="K105" s="1">
        <v>18</v>
      </c>
      <c r="L105" s="1">
        <v>16</v>
      </c>
      <c r="M105" s="1">
        <v>17</v>
      </c>
      <c r="N105" s="1">
        <v>17</v>
      </c>
      <c r="O105" s="1">
        <v>16</v>
      </c>
      <c r="P105" s="33">
        <f t="shared" si="24"/>
        <v>217</v>
      </c>
      <c r="Q105" s="63">
        <f t="shared" si="25"/>
        <v>18.083333333333332</v>
      </c>
    </row>
    <row r="106" spans="1:17" ht="16.5" customHeight="1" x14ac:dyDescent="0.3">
      <c r="A106" s="71"/>
      <c r="B106" s="91"/>
      <c r="C106" s="32" t="s">
        <v>17</v>
      </c>
      <c r="D106" s="1">
        <v>19</v>
      </c>
      <c r="E106" s="1">
        <v>19</v>
      </c>
      <c r="F106" s="1">
        <v>16</v>
      </c>
      <c r="G106" s="1">
        <v>16</v>
      </c>
      <c r="H106" s="1">
        <v>15</v>
      </c>
      <c r="I106" s="1">
        <v>16</v>
      </c>
      <c r="J106" s="1">
        <v>17</v>
      </c>
      <c r="K106" s="1">
        <v>17</v>
      </c>
      <c r="L106" s="1">
        <v>17</v>
      </c>
      <c r="M106" s="1">
        <v>17</v>
      </c>
      <c r="N106" s="1">
        <v>18</v>
      </c>
      <c r="O106" s="1">
        <v>15</v>
      </c>
      <c r="P106" s="33">
        <f t="shared" si="24"/>
        <v>202</v>
      </c>
      <c r="Q106" s="63">
        <f t="shared" si="25"/>
        <v>16.833333333333332</v>
      </c>
    </row>
    <row r="107" spans="1:17" ht="15.5" x14ac:dyDescent="0.3">
      <c r="A107" s="71"/>
      <c r="B107" s="91"/>
      <c r="C107" s="32" t="s">
        <v>18</v>
      </c>
      <c r="D107" s="1">
        <v>15</v>
      </c>
      <c r="E107" s="1">
        <v>15</v>
      </c>
      <c r="F107" s="1">
        <v>21</v>
      </c>
      <c r="G107" s="1">
        <v>21</v>
      </c>
      <c r="H107" s="1">
        <v>16</v>
      </c>
      <c r="I107" s="1">
        <v>23</v>
      </c>
      <c r="J107" s="1">
        <v>17</v>
      </c>
      <c r="K107" s="1">
        <v>18</v>
      </c>
      <c r="L107" s="1">
        <v>14</v>
      </c>
      <c r="M107" s="1">
        <v>17</v>
      </c>
      <c r="N107" s="1">
        <v>19</v>
      </c>
      <c r="O107" s="1">
        <v>20</v>
      </c>
      <c r="P107" s="33">
        <f t="shared" si="24"/>
        <v>216</v>
      </c>
      <c r="Q107" s="63">
        <f t="shared" si="25"/>
        <v>18</v>
      </c>
    </row>
    <row r="108" spans="1:17" ht="15.5" x14ac:dyDescent="0.3">
      <c r="A108" s="71"/>
      <c r="B108" s="91"/>
      <c r="C108" s="32" t="s">
        <v>19</v>
      </c>
      <c r="D108" s="1">
        <v>14</v>
      </c>
      <c r="E108" s="1">
        <v>20</v>
      </c>
      <c r="F108" s="1">
        <v>16</v>
      </c>
      <c r="G108" s="1">
        <v>14</v>
      </c>
      <c r="H108" s="1">
        <v>8</v>
      </c>
      <c r="I108" s="1">
        <v>13</v>
      </c>
      <c r="J108" s="1">
        <v>14</v>
      </c>
      <c r="K108" s="1">
        <v>17</v>
      </c>
      <c r="L108" s="1">
        <v>20</v>
      </c>
      <c r="M108" s="1">
        <v>11</v>
      </c>
      <c r="N108" s="1">
        <v>16</v>
      </c>
      <c r="O108" s="1">
        <v>16</v>
      </c>
      <c r="P108" s="33">
        <f t="shared" si="24"/>
        <v>179</v>
      </c>
      <c r="Q108" s="63">
        <f t="shared" si="25"/>
        <v>14.916666666666666</v>
      </c>
    </row>
    <row r="109" spans="1:17" ht="15.5" x14ac:dyDescent="0.3">
      <c r="A109" s="71"/>
      <c r="B109" s="91"/>
      <c r="C109" s="32" t="s">
        <v>20</v>
      </c>
      <c r="D109" s="1">
        <v>20</v>
      </c>
      <c r="E109" s="1">
        <v>23</v>
      </c>
      <c r="F109" s="1">
        <v>21</v>
      </c>
      <c r="G109" s="1">
        <v>12</v>
      </c>
      <c r="H109" s="1">
        <v>8</v>
      </c>
      <c r="I109" s="1">
        <v>14</v>
      </c>
      <c r="J109" s="1">
        <v>23</v>
      </c>
      <c r="K109" s="1">
        <v>20</v>
      </c>
      <c r="L109" s="1">
        <v>22</v>
      </c>
      <c r="M109" s="1">
        <v>12</v>
      </c>
      <c r="N109" s="1">
        <v>23</v>
      </c>
      <c r="O109" s="1">
        <v>11</v>
      </c>
      <c r="P109" s="33">
        <f t="shared" si="24"/>
        <v>209</v>
      </c>
      <c r="Q109" s="63">
        <f t="shared" si="25"/>
        <v>17.416666666666668</v>
      </c>
    </row>
    <row r="110" spans="1:17" ht="15.5" x14ac:dyDescent="0.3">
      <c r="A110" s="71"/>
      <c r="B110" s="91"/>
      <c r="C110" s="32" t="s">
        <v>21</v>
      </c>
      <c r="D110" s="1">
        <v>16</v>
      </c>
      <c r="E110" s="1">
        <v>19</v>
      </c>
      <c r="F110" s="1">
        <v>25</v>
      </c>
      <c r="G110" s="1">
        <v>20</v>
      </c>
      <c r="H110" s="1">
        <v>13</v>
      </c>
      <c r="I110" s="1">
        <v>18</v>
      </c>
      <c r="J110" s="1">
        <v>11</v>
      </c>
      <c r="K110" s="1">
        <v>17</v>
      </c>
      <c r="L110" s="1">
        <v>22</v>
      </c>
      <c r="M110" s="1">
        <v>21</v>
      </c>
      <c r="N110" s="1">
        <v>19</v>
      </c>
      <c r="O110" s="1">
        <v>10</v>
      </c>
      <c r="P110" s="33">
        <f t="shared" si="24"/>
        <v>211</v>
      </c>
      <c r="Q110" s="63">
        <f t="shared" si="25"/>
        <v>17.583333333333332</v>
      </c>
    </row>
    <row r="111" spans="1:17" x14ac:dyDescent="0.3">
      <c r="A111" s="71"/>
      <c r="B111" s="91"/>
      <c r="C111" s="31" t="s">
        <v>48</v>
      </c>
      <c r="D111" s="34">
        <f>SUM(D102:D110)</f>
        <v>157</v>
      </c>
      <c r="E111" s="34">
        <f t="shared" ref="E111:O111" si="26">SUM(E102:E110)</f>
        <v>175</v>
      </c>
      <c r="F111" s="34">
        <f t="shared" si="26"/>
        <v>184</v>
      </c>
      <c r="G111" s="34">
        <f t="shared" si="26"/>
        <v>176</v>
      </c>
      <c r="H111" s="34">
        <f t="shared" si="26"/>
        <v>145</v>
      </c>
      <c r="I111" s="34">
        <f t="shared" si="26"/>
        <v>164</v>
      </c>
      <c r="J111" s="34">
        <f t="shared" si="26"/>
        <v>157</v>
      </c>
      <c r="K111" s="34">
        <f t="shared" si="26"/>
        <v>169</v>
      </c>
      <c r="L111" s="34">
        <f t="shared" si="26"/>
        <v>173</v>
      </c>
      <c r="M111" s="34">
        <f t="shared" si="26"/>
        <v>158</v>
      </c>
      <c r="N111" s="34">
        <f t="shared" si="26"/>
        <v>163</v>
      </c>
      <c r="O111" s="34">
        <f t="shared" si="26"/>
        <v>154</v>
      </c>
      <c r="P111" s="33">
        <f t="shared" si="24"/>
        <v>1975</v>
      </c>
      <c r="Q111" s="41"/>
    </row>
    <row r="112" spans="1:17" x14ac:dyDescent="0.3">
      <c r="A112" s="72"/>
      <c r="B112" s="92"/>
      <c r="C112" s="31" t="s">
        <v>47</v>
      </c>
      <c r="D112" s="63">
        <f>AVERAGE(D102:D110)</f>
        <v>17.444444444444443</v>
      </c>
      <c r="E112" s="63">
        <f t="shared" ref="E112:O112" si="27">AVERAGE(E102:E110)</f>
        <v>19.444444444444443</v>
      </c>
      <c r="F112" s="63">
        <f t="shared" si="27"/>
        <v>20.444444444444443</v>
      </c>
      <c r="G112" s="63">
        <f t="shared" si="27"/>
        <v>19.555555555555557</v>
      </c>
      <c r="H112" s="63">
        <f t="shared" si="27"/>
        <v>16.111111111111111</v>
      </c>
      <c r="I112" s="63">
        <f t="shared" si="27"/>
        <v>18.222222222222221</v>
      </c>
      <c r="J112" s="63">
        <f t="shared" si="27"/>
        <v>17.444444444444443</v>
      </c>
      <c r="K112" s="63">
        <f t="shared" si="27"/>
        <v>18.777777777777779</v>
      </c>
      <c r="L112" s="63">
        <f t="shared" si="27"/>
        <v>19.222222222222221</v>
      </c>
      <c r="M112" s="63">
        <f t="shared" si="27"/>
        <v>17.555555555555557</v>
      </c>
      <c r="N112" s="63">
        <f t="shared" si="27"/>
        <v>18.111111111111111</v>
      </c>
      <c r="O112" s="63">
        <f t="shared" si="27"/>
        <v>17.111111111111111</v>
      </c>
      <c r="P112" s="41"/>
      <c r="Q112" s="41"/>
    </row>
    <row r="123" ht="15" customHeight="1" x14ac:dyDescent="0.3"/>
    <row r="140" s="17" customFormat="1" ht="15" customHeight="1" x14ac:dyDescent="0.3"/>
  </sheetData>
  <mergeCells count="63">
    <mergeCell ref="D52:G52"/>
    <mergeCell ref="H52:K52"/>
    <mergeCell ref="L52:O52"/>
    <mergeCell ref="D68:G68"/>
    <mergeCell ref="H68:K68"/>
    <mergeCell ref="L68:O68"/>
    <mergeCell ref="A100:A112"/>
    <mergeCell ref="B100:B112"/>
    <mergeCell ref="H100:K100"/>
    <mergeCell ref="L100:O100"/>
    <mergeCell ref="C83:C85"/>
    <mergeCell ref="D83:O83"/>
    <mergeCell ref="C99:C101"/>
    <mergeCell ref="D99:O99"/>
    <mergeCell ref="A68:A80"/>
    <mergeCell ref="B68:B80"/>
    <mergeCell ref="A84:A96"/>
    <mergeCell ref="B84:B96"/>
    <mergeCell ref="D84:G84"/>
    <mergeCell ref="H84:K84"/>
    <mergeCell ref="L84:O84"/>
    <mergeCell ref="Q35:Q37"/>
    <mergeCell ref="A36:A48"/>
    <mergeCell ref="B36:B48"/>
    <mergeCell ref="D36:G36"/>
    <mergeCell ref="H36:K36"/>
    <mergeCell ref="L36:O36"/>
    <mergeCell ref="Q99:Q101"/>
    <mergeCell ref="D100:G100"/>
    <mergeCell ref="C51:C53"/>
    <mergeCell ref="D51:O51"/>
    <mergeCell ref="P51:P53"/>
    <mergeCell ref="Q51:Q53"/>
    <mergeCell ref="Q83:Q85"/>
    <mergeCell ref="C67:C69"/>
    <mergeCell ref="D67:O67"/>
    <mergeCell ref="P67:P69"/>
    <mergeCell ref="Q67:Q69"/>
    <mergeCell ref="P83:P85"/>
    <mergeCell ref="P99:P101"/>
    <mergeCell ref="C35:C37"/>
    <mergeCell ref="D35:O35"/>
    <mergeCell ref="P35:P37"/>
    <mergeCell ref="A52:A64"/>
    <mergeCell ref="B52:B64"/>
    <mergeCell ref="A4:A16"/>
    <mergeCell ref="B4:B16"/>
    <mergeCell ref="C19:C21"/>
    <mergeCell ref="D19:O19"/>
    <mergeCell ref="P19:P21"/>
    <mergeCell ref="A20:A32"/>
    <mergeCell ref="B20:B32"/>
    <mergeCell ref="Q19:Q21"/>
    <mergeCell ref="D20:G20"/>
    <mergeCell ref="H20:K20"/>
    <mergeCell ref="L20:O20"/>
    <mergeCell ref="C3:C5"/>
    <mergeCell ref="D3:O3"/>
    <mergeCell ref="Q3:Q5"/>
    <mergeCell ref="D4:G4"/>
    <mergeCell ref="H4:K4"/>
    <mergeCell ref="L4:O4"/>
    <mergeCell ref="P3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2AAD-AD48-4003-8A1C-F741E601EBCC}">
  <dimension ref="A2:Q105"/>
  <sheetViews>
    <sheetView tabSelected="1" topLeftCell="A15" zoomScale="31" zoomScaleNormal="115" workbookViewId="0">
      <selection activeCell="AW43" sqref="AW43"/>
    </sheetView>
  </sheetViews>
  <sheetFormatPr defaultRowHeight="14" x14ac:dyDescent="0.3"/>
  <cols>
    <col min="1" max="1" width="8.7265625" style="17"/>
    <col min="2" max="2" width="26.81640625" style="17" customWidth="1"/>
    <col min="3" max="3" width="12.7265625" style="17" customWidth="1"/>
    <col min="4" max="28" width="8.7265625" style="17"/>
    <col min="29" max="29" width="12.08984375" style="17" customWidth="1"/>
    <col min="30" max="36" width="8.7265625" style="17"/>
    <col min="37" max="37" width="20.90625" style="17" customWidth="1"/>
    <col min="38" max="38" width="8.7265625" style="17"/>
    <col min="39" max="39" width="10.1796875" style="17" customWidth="1"/>
    <col min="40" max="40" width="10" style="17" customWidth="1"/>
    <col min="41" max="41" width="9.90625" style="17" customWidth="1"/>
    <col min="42" max="42" width="13.36328125" style="17" customWidth="1"/>
    <col min="43" max="16384" width="8.7265625" style="17"/>
  </cols>
  <sheetData>
    <row r="2" spans="1:17" x14ac:dyDescent="0.3">
      <c r="A2" s="3" t="s">
        <v>29</v>
      </c>
      <c r="B2" s="3" t="s">
        <v>35</v>
      </c>
      <c r="C2" s="73" t="s">
        <v>2</v>
      </c>
      <c r="D2" s="75" t="s">
        <v>3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0" t="s">
        <v>48</v>
      </c>
      <c r="Q2" s="70" t="s">
        <v>47</v>
      </c>
    </row>
    <row r="3" spans="1:17" x14ac:dyDescent="0.3">
      <c r="A3" s="70">
        <v>1</v>
      </c>
      <c r="B3" s="90" t="s">
        <v>51</v>
      </c>
      <c r="C3" s="73"/>
      <c r="D3" s="75" t="s">
        <v>4</v>
      </c>
      <c r="E3" s="75"/>
      <c r="F3" s="75"/>
      <c r="G3" s="75"/>
      <c r="H3" s="75" t="s">
        <v>11</v>
      </c>
      <c r="I3" s="75"/>
      <c r="J3" s="75"/>
      <c r="K3" s="75"/>
      <c r="L3" s="75" t="s">
        <v>12</v>
      </c>
      <c r="M3" s="75"/>
      <c r="N3" s="75"/>
      <c r="O3" s="75"/>
      <c r="P3" s="71"/>
      <c r="Q3" s="71"/>
    </row>
    <row r="4" spans="1:17" x14ac:dyDescent="0.3">
      <c r="A4" s="71"/>
      <c r="B4" s="91"/>
      <c r="C4" s="73"/>
      <c r="D4" s="29" t="s">
        <v>5</v>
      </c>
      <c r="E4" s="29" t="s">
        <v>7</v>
      </c>
      <c r="F4" s="29" t="s">
        <v>8</v>
      </c>
      <c r="G4" s="29" t="s">
        <v>10</v>
      </c>
      <c r="H4" s="29" t="s">
        <v>5</v>
      </c>
      <c r="I4" s="29" t="s">
        <v>7</v>
      </c>
      <c r="J4" s="29" t="s">
        <v>8</v>
      </c>
      <c r="K4" s="29" t="s">
        <v>10</v>
      </c>
      <c r="L4" s="29" t="s">
        <v>5</v>
      </c>
      <c r="M4" s="29" t="s">
        <v>7</v>
      </c>
      <c r="N4" s="29" t="s">
        <v>8</v>
      </c>
      <c r="O4" s="29" t="s">
        <v>10</v>
      </c>
      <c r="P4" s="72"/>
      <c r="Q4" s="72"/>
    </row>
    <row r="5" spans="1:17" ht="15.5" x14ac:dyDescent="0.3">
      <c r="A5" s="71"/>
      <c r="B5" s="91"/>
      <c r="C5" s="32" t="s">
        <v>13</v>
      </c>
      <c r="D5" s="37">
        <v>2</v>
      </c>
      <c r="E5" s="37">
        <v>0</v>
      </c>
      <c r="F5" s="37">
        <v>0</v>
      </c>
      <c r="G5" s="37">
        <v>2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2</v>
      </c>
      <c r="N5" s="37">
        <v>0</v>
      </c>
      <c r="O5" s="37">
        <v>0</v>
      </c>
      <c r="P5" s="33">
        <f>SUM(D5:O5)</f>
        <v>6</v>
      </c>
      <c r="Q5" s="63">
        <f>AVERAGE(D5:O5)</f>
        <v>0.5</v>
      </c>
    </row>
    <row r="6" spans="1:17" ht="15.5" x14ac:dyDescent="0.3">
      <c r="A6" s="71"/>
      <c r="B6" s="91"/>
      <c r="C6" s="32" t="s">
        <v>14</v>
      </c>
      <c r="D6" s="37">
        <v>3</v>
      </c>
      <c r="E6" s="37">
        <v>4</v>
      </c>
      <c r="F6" s="37">
        <v>4</v>
      </c>
      <c r="G6" s="37">
        <v>5</v>
      </c>
      <c r="H6" s="37">
        <v>3</v>
      </c>
      <c r="I6" s="37">
        <v>3</v>
      </c>
      <c r="J6" s="37">
        <v>3</v>
      </c>
      <c r="K6" s="37">
        <v>4</v>
      </c>
      <c r="L6" s="37">
        <v>4</v>
      </c>
      <c r="M6" s="37">
        <v>2</v>
      </c>
      <c r="N6" s="37">
        <v>3</v>
      </c>
      <c r="O6" s="37">
        <v>3</v>
      </c>
      <c r="P6" s="33">
        <f t="shared" ref="P6:P14" si="0">SUM(D6:O6)</f>
        <v>41</v>
      </c>
      <c r="Q6" s="63">
        <f t="shared" ref="Q6:Q13" si="1">AVERAGE(D6:O6)</f>
        <v>3.4166666666666665</v>
      </c>
    </row>
    <row r="7" spans="1:17" ht="15.5" x14ac:dyDescent="0.3">
      <c r="A7" s="71"/>
      <c r="B7" s="91"/>
      <c r="C7" s="32" t="s">
        <v>15</v>
      </c>
      <c r="D7" s="37">
        <v>2</v>
      </c>
      <c r="E7" s="37">
        <v>4</v>
      </c>
      <c r="F7" s="37">
        <v>4</v>
      </c>
      <c r="G7" s="37">
        <v>2</v>
      </c>
      <c r="H7" s="37">
        <v>3</v>
      </c>
      <c r="I7" s="37">
        <v>3</v>
      </c>
      <c r="J7" s="37">
        <v>3</v>
      </c>
      <c r="K7" s="37">
        <v>2</v>
      </c>
      <c r="L7" s="37">
        <v>2</v>
      </c>
      <c r="M7" s="37">
        <v>3</v>
      </c>
      <c r="N7" s="37">
        <v>2</v>
      </c>
      <c r="O7" s="37">
        <v>1</v>
      </c>
      <c r="P7" s="33">
        <f t="shared" si="0"/>
        <v>31</v>
      </c>
      <c r="Q7" s="63">
        <f t="shared" si="1"/>
        <v>2.5833333333333335</v>
      </c>
    </row>
    <row r="8" spans="1:17" ht="15.5" x14ac:dyDescent="0.3">
      <c r="A8" s="71"/>
      <c r="B8" s="91"/>
      <c r="C8" s="32" t="s">
        <v>16</v>
      </c>
      <c r="D8" s="38">
        <v>1</v>
      </c>
      <c r="E8" s="38">
        <v>0</v>
      </c>
      <c r="F8" s="38">
        <v>0</v>
      </c>
      <c r="G8" s="38">
        <v>0</v>
      </c>
      <c r="H8" s="38">
        <v>1</v>
      </c>
      <c r="I8" s="38">
        <v>1</v>
      </c>
      <c r="J8" s="38">
        <v>1</v>
      </c>
      <c r="K8" s="38">
        <v>0</v>
      </c>
      <c r="L8" s="38">
        <v>0</v>
      </c>
      <c r="M8" s="38">
        <v>0</v>
      </c>
      <c r="N8" s="38">
        <v>0</v>
      </c>
      <c r="O8" s="38">
        <v>1</v>
      </c>
      <c r="P8" s="33">
        <f t="shared" si="0"/>
        <v>5</v>
      </c>
      <c r="Q8" s="63">
        <f t="shared" si="1"/>
        <v>0.41666666666666669</v>
      </c>
    </row>
    <row r="9" spans="1:17" ht="15.5" x14ac:dyDescent="0.3">
      <c r="A9" s="71"/>
      <c r="B9" s="91"/>
      <c r="C9" s="32" t="s">
        <v>17</v>
      </c>
      <c r="D9" s="38">
        <v>2</v>
      </c>
      <c r="E9" s="38">
        <v>2</v>
      </c>
      <c r="F9" s="38">
        <v>2</v>
      </c>
      <c r="G9" s="38">
        <v>2</v>
      </c>
      <c r="H9" s="38">
        <v>2</v>
      </c>
      <c r="I9" s="38">
        <v>2</v>
      </c>
      <c r="J9" s="38">
        <v>1</v>
      </c>
      <c r="K9" s="38">
        <v>4</v>
      </c>
      <c r="L9" s="38">
        <v>4</v>
      </c>
      <c r="M9" s="38">
        <v>3</v>
      </c>
      <c r="N9" s="38">
        <v>4</v>
      </c>
      <c r="O9" s="38">
        <v>4</v>
      </c>
      <c r="P9" s="33">
        <f t="shared" si="0"/>
        <v>32</v>
      </c>
      <c r="Q9" s="63">
        <f t="shared" si="1"/>
        <v>2.6666666666666665</v>
      </c>
    </row>
    <row r="10" spans="1:17" ht="15.5" x14ac:dyDescent="0.3">
      <c r="A10" s="71"/>
      <c r="B10" s="91"/>
      <c r="C10" s="32" t="s">
        <v>18</v>
      </c>
      <c r="D10" s="38">
        <v>2</v>
      </c>
      <c r="E10" s="38">
        <v>3</v>
      </c>
      <c r="F10" s="38">
        <v>3</v>
      </c>
      <c r="G10" s="38">
        <v>1</v>
      </c>
      <c r="H10" s="38">
        <v>3</v>
      </c>
      <c r="I10" s="38">
        <v>3</v>
      </c>
      <c r="J10" s="38">
        <v>3</v>
      </c>
      <c r="K10" s="38">
        <v>1</v>
      </c>
      <c r="L10" s="38">
        <v>1</v>
      </c>
      <c r="M10" s="38">
        <v>6</v>
      </c>
      <c r="N10" s="38">
        <v>3</v>
      </c>
      <c r="O10" s="38">
        <v>4</v>
      </c>
      <c r="P10" s="33">
        <f t="shared" si="0"/>
        <v>33</v>
      </c>
      <c r="Q10" s="63">
        <f t="shared" si="1"/>
        <v>2.75</v>
      </c>
    </row>
    <row r="11" spans="1:17" ht="15.5" x14ac:dyDescent="0.3">
      <c r="A11" s="71"/>
      <c r="B11" s="91"/>
      <c r="C11" s="32" t="s">
        <v>19</v>
      </c>
      <c r="D11" s="37">
        <v>0</v>
      </c>
      <c r="E11" s="37">
        <v>0</v>
      </c>
      <c r="F11" s="37">
        <v>0</v>
      </c>
      <c r="G11" s="37">
        <v>1</v>
      </c>
      <c r="H11" s="37">
        <v>3</v>
      </c>
      <c r="I11" s="37">
        <v>3</v>
      </c>
      <c r="J11" s="37">
        <v>4</v>
      </c>
      <c r="K11" s="37">
        <v>5</v>
      </c>
      <c r="L11" s="37">
        <v>5</v>
      </c>
      <c r="M11" s="37">
        <v>3</v>
      </c>
      <c r="N11" s="37">
        <v>2</v>
      </c>
      <c r="O11" s="37">
        <v>2</v>
      </c>
      <c r="P11" s="33">
        <f t="shared" si="0"/>
        <v>28</v>
      </c>
      <c r="Q11" s="63">
        <f t="shared" si="1"/>
        <v>2.3333333333333335</v>
      </c>
    </row>
    <row r="12" spans="1:17" ht="15.5" x14ac:dyDescent="0.3">
      <c r="A12" s="71"/>
      <c r="B12" s="91"/>
      <c r="C12" s="32" t="s">
        <v>20</v>
      </c>
      <c r="D12" s="37">
        <v>0</v>
      </c>
      <c r="E12" s="37">
        <v>5</v>
      </c>
      <c r="F12" s="37">
        <v>5</v>
      </c>
      <c r="G12" s="37">
        <v>1</v>
      </c>
      <c r="H12" s="37">
        <v>1</v>
      </c>
      <c r="I12" s="37">
        <v>1</v>
      </c>
      <c r="J12" s="37">
        <v>3</v>
      </c>
      <c r="K12" s="37">
        <v>0</v>
      </c>
      <c r="L12" s="37">
        <v>0</v>
      </c>
      <c r="M12" s="37">
        <v>3</v>
      </c>
      <c r="N12" s="37">
        <v>3</v>
      </c>
      <c r="O12" s="37">
        <v>4</v>
      </c>
      <c r="P12" s="33">
        <f t="shared" si="0"/>
        <v>26</v>
      </c>
      <c r="Q12" s="63">
        <f t="shared" si="1"/>
        <v>2.1666666666666665</v>
      </c>
    </row>
    <row r="13" spans="1:17" ht="15.5" x14ac:dyDescent="0.3">
      <c r="A13" s="71"/>
      <c r="B13" s="91"/>
      <c r="C13" s="32" t="s">
        <v>21</v>
      </c>
      <c r="D13" s="37">
        <v>2</v>
      </c>
      <c r="E13" s="37">
        <v>2</v>
      </c>
      <c r="F13" s="37">
        <v>2</v>
      </c>
      <c r="G13" s="37">
        <v>1</v>
      </c>
      <c r="H13" s="37">
        <v>4</v>
      </c>
      <c r="I13" s="37">
        <v>4</v>
      </c>
      <c r="J13" s="37">
        <v>0</v>
      </c>
      <c r="K13" s="37">
        <v>2</v>
      </c>
      <c r="L13" s="37">
        <v>2</v>
      </c>
      <c r="M13" s="37">
        <v>2</v>
      </c>
      <c r="N13" s="37">
        <v>1</v>
      </c>
      <c r="O13" s="37">
        <v>2</v>
      </c>
      <c r="P13" s="33">
        <f t="shared" si="0"/>
        <v>24</v>
      </c>
      <c r="Q13" s="63">
        <f t="shared" si="1"/>
        <v>2</v>
      </c>
    </row>
    <row r="14" spans="1:17" x14ac:dyDescent="0.3">
      <c r="A14" s="71"/>
      <c r="B14" s="91"/>
      <c r="C14" s="31" t="s">
        <v>48</v>
      </c>
      <c r="D14" s="34">
        <f>SUM(D5:D13)</f>
        <v>14</v>
      </c>
      <c r="E14" s="34">
        <f t="shared" ref="E14:O14" si="2">SUM(E5:E13)</f>
        <v>20</v>
      </c>
      <c r="F14" s="34">
        <f t="shared" si="2"/>
        <v>20</v>
      </c>
      <c r="G14" s="34">
        <f t="shared" si="2"/>
        <v>15</v>
      </c>
      <c r="H14" s="34">
        <f t="shared" si="2"/>
        <v>20</v>
      </c>
      <c r="I14" s="34">
        <f t="shared" si="2"/>
        <v>20</v>
      </c>
      <c r="J14" s="34">
        <f t="shared" si="2"/>
        <v>18</v>
      </c>
      <c r="K14" s="34">
        <f t="shared" si="2"/>
        <v>18</v>
      </c>
      <c r="L14" s="34">
        <f t="shared" si="2"/>
        <v>18</v>
      </c>
      <c r="M14" s="34">
        <f t="shared" si="2"/>
        <v>24</v>
      </c>
      <c r="N14" s="34">
        <f t="shared" si="2"/>
        <v>18</v>
      </c>
      <c r="O14" s="34">
        <f t="shared" si="2"/>
        <v>21</v>
      </c>
      <c r="P14" s="33">
        <f t="shared" si="0"/>
        <v>226</v>
      </c>
      <c r="Q14" s="63"/>
    </row>
    <row r="15" spans="1:17" x14ac:dyDescent="0.3">
      <c r="A15" s="72"/>
      <c r="B15" s="92"/>
      <c r="C15" s="31" t="s">
        <v>47</v>
      </c>
      <c r="D15" s="63">
        <f>AVERAGE(D5:D13)</f>
        <v>1.5555555555555556</v>
      </c>
      <c r="E15" s="63">
        <f t="shared" ref="E15:O15" si="3">AVERAGE(E5:E13)</f>
        <v>2.2222222222222223</v>
      </c>
      <c r="F15" s="63">
        <f t="shared" si="3"/>
        <v>2.2222222222222223</v>
      </c>
      <c r="G15" s="63">
        <f t="shared" si="3"/>
        <v>1.6666666666666667</v>
      </c>
      <c r="H15" s="63">
        <f t="shared" si="3"/>
        <v>2.2222222222222223</v>
      </c>
      <c r="I15" s="63">
        <f t="shared" si="3"/>
        <v>2.2222222222222223</v>
      </c>
      <c r="J15" s="63">
        <f t="shared" si="3"/>
        <v>2</v>
      </c>
      <c r="K15" s="63">
        <f t="shared" si="3"/>
        <v>2</v>
      </c>
      <c r="L15" s="63">
        <f t="shared" si="3"/>
        <v>2</v>
      </c>
      <c r="M15" s="63">
        <f t="shared" si="3"/>
        <v>2.6666666666666665</v>
      </c>
      <c r="N15" s="63">
        <f t="shared" si="3"/>
        <v>2</v>
      </c>
      <c r="O15" s="63">
        <f t="shared" si="3"/>
        <v>2.3333333333333335</v>
      </c>
      <c r="P15" s="2"/>
      <c r="Q15" s="63"/>
    </row>
    <row r="16" spans="1:17" x14ac:dyDescent="0.3">
      <c r="Q16" s="55"/>
    </row>
    <row r="17" spans="1:17" x14ac:dyDescent="0.3">
      <c r="A17" s="3" t="s">
        <v>29</v>
      </c>
      <c r="B17" s="3" t="s">
        <v>35</v>
      </c>
      <c r="C17" s="73" t="s">
        <v>2</v>
      </c>
      <c r="D17" s="75" t="s">
        <v>3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0" t="s">
        <v>48</v>
      </c>
      <c r="Q17" s="87" t="s">
        <v>47</v>
      </c>
    </row>
    <row r="18" spans="1:17" x14ac:dyDescent="0.3">
      <c r="A18" s="70">
        <v>2</v>
      </c>
      <c r="B18" s="90" t="s">
        <v>52</v>
      </c>
      <c r="C18" s="73"/>
      <c r="D18" s="75" t="s">
        <v>4</v>
      </c>
      <c r="E18" s="75"/>
      <c r="F18" s="75"/>
      <c r="G18" s="75"/>
      <c r="H18" s="75" t="s">
        <v>11</v>
      </c>
      <c r="I18" s="75"/>
      <c r="J18" s="75"/>
      <c r="K18" s="75"/>
      <c r="L18" s="75" t="s">
        <v>12</v>
      </c>
      <c r="M18" s="75"/>
      <c r="N18" s="75"/>
      <c r="O18" s="75"/>
      <c r="P18" s="71"/>
      <c r="Q18" s="88"/>
    </row>
    <row r="19" spans="1:17" x14ac:dyDescent="0.3">
      <c r="A19" s="71"/>
      <c r="B19" s="91"/>
      <c r="C19" s="73"/>
      <c r="D19" s="29" t="s">
        <v>5</v>
      </c>
      <c r="E19" s="29" t="s">
        <v>7</v>
      </c>
      <c r="F19" s="29" t="s">
        <v>8</v>
      </c>
      <c r="G19" s="29" t="s">
        <v>10</v>
      </c>
      <c r="H19" s="29" t="s">
        <v>5</v>
      </c>
      <c r="I19" s="29" t="s">
        <v>7</v>
      </c>
      <c r="J19" s="29" t="s">
        <v>8</v>
      </c>
      <c r="K19" s="29" t="s">
        <v>10</v>
      </c>
      <c r="L19" s="29" t="s">
        <v>5</v>
      </c>
      <c r="M19" s="29" t="s">
        <v>7</v>
      </c>
      <c r="N19" s="29" t="s">
        <v>8</v>
      </c>
      <c r="O19" s="29" t="s">
        <v>10</v>
      </c>
      <c r="P19" s="72"/>
      <c r="Q19" s="89"/>
    </row>
    <row r="20" spans="1:17" ht="15.5" x14ac:dyDescent="0.3">
      <c r="A20" s="71"/>
      <c r="B20" s="91"/>
      <c r="C20" s="32" t="s">
        <v>13</v>
      </c>
      <c r="D20" s="37">
        <v>3</v>
      </c>
      <c r="E20" s="37">
        <v>3</v>
      </c>
      <c r="F20" s="37">
        <v>2</v>
      </c>
      <c r="G20" s="37">
        <v>1</v>
      </c>
      <c r="H20" s="37">
        <v>3</v>
      </c>
      <c r="I20" s="37">
        <v>3</v>
      </c>
      <c r="J20" s="37">
        <v>2</v>
      </c>
      <c r="K20" s="37">
        <v>1</v>
      </c>
      <c r="L20" s="37">
        <v>4</v>
      </c>
      <c r="M20" s="37">
        <v>3</v>
      </c>
      <c r="N20" s="37">
        <v>3</v>
      </c>
      <c r="O20" s="37">
        <v>1</v>
      </c>
      <c r="P20" s="33">
        <f>SUM(D20:O20)</f>
        <v>29</v>
      </c>
      <c r="Q20" s="63">
        <f>AVERAGE(D20:O20)</f>
        <v>2.4166666666666665</v>
      </c>
    </row>
    <row r="21" spans="1:17" ht="15.5" x14ac:dyDescent="0.3">
      <c r="A21" s="71"/>
      <c r="B21" s="91"/>
      <c r="C21" s="32" t="s">
        <v>14</v>
      </c>
      <c r="D21" s="37">
        <v>2</v>
      </c>
      <c r="E21" s="37">
        <v>3</v>
      </c>
      <c r="F21" s="37">
        <v>2</v>
      </c>
      <c r="G21" s="37">
        <v>4</v>
      </c>
      <c r="H21" s="37">
        <v>3</v>
      </c>
      <c r="I21" s="37">
        <v>3</v>
      </c>
      <c r="J21" s="37">
        <v>4</v>
      </c>
      <c r="K21" s="37">
        <v>2</v>
      </c>
      <c r="L21" s="37">
        <v>3</v>
      </c>
      <c r="M21" s="37">
        <v>5</v>
      </c>
      <c r="N21" s="37">
        <v>0</v>
      </c>
      <c r="O21" s="37">
        <v>2</v>
      </c>
      <c r="P21" s="33">
        <f t="shared" ref="P21:P29" si="4">SUM(D21:O21)</f>
        <v>33</v>
      </c>
      <c r="Q21" s="63">
        <f t="shared" ref="Q21:Q28" si="5">AVERAGE(D21:O21)</f>
        <v>2.75</v>
      </c>
    </row>
    <row r="22" spans="1:17" ht="15.5" x14ac:dyDescent="0.3">
      <c r="A22" s="71"/>
      <c r="B22" s="91"/>
      <c r="C22" s="32" t="s">
        <v>15</v>
      </c>
      <c r="D22" s="37">
        <v>3</v>
      </c>
      <c r="E22" s="37">
        <v>3</v>
      </c>
      <c r="F22" s="37">
        <v>2</v>
      </c>
      <c r="G22" s="37">
        <v>3</v>
      </c>
      <c r="H22" s="37">
        <v>4</v>
      </c>
      <c r="I22" s="37">
        <v>3</v>
      </c>
      <c r="J22" s="37">
        <v>4</v>
      </c>
      <c r="K22" s="37">
        <v>2</v>
      </c>
      <c r="L22" s="37">
        <v>3</v>
      </c>
      <c r="M22" s="37">
        <v>3</v>
      </c>
      <c r="N22" s="37">
        <v>2</v>
      </c>
      <c r="O22" s="37">
        <v>2</v>
      </c>
      <c r="P22" s="33">
        <f t="shared" si="4"/>
        <v>34</v>
      </c>
      <c r="Q22" s="63">
        <f t="shared" si="5"/>
        <v>2.8333333333333335</v>
      </c>
    </row>
    <row r="23" spans="1:17" ht="15.5" x14ac:dyDescent="0.3">
      <c r="A23" s="71"/>
      <c r="B23" s="91"/>
      <c r="C23" s="32" t="s">
        <v>16</v>
      </c>
      <c r="D23" s="38">
        <v>3</v>
      </c>
      <c r="E23" s="38">
        <v>4</v>
      </c>
      <c r="F23" s="38">
        <v>2</v>
      </c>
      <c r="G23" s="38">
        <v>5</v>
      </c>
      <c r="H23" s="38">
        <v>2</v>
      </c>
      <c r="I23" s="38">
        <v>3</v>
      </c>
      <c r="J23" s="38">
        <v>4</v>
      </c>
      <c r="K23" s="38">
        <v>5</v>
      </c>
      <c r="L23" s="38">
        <v>6</v>
      </c>
      <c r="M23" s="38">
        <v>4</v>
      </c>
      <c r="N23" s="38">
        <v>5</v>
      </c>
      <c r="O23" s="38">
        <v>6</v>
      </c>
      <c r="P23" s="33">
        <f t="shared" si="4"/>
        <v>49</v>
      </c>
      <c r="Q23" s="63">
        <f t="shared" si="5"/>
        <v>4.083333333333333</v>
      </c>
    </row>
    <row r="24" spans="1:17" ht="15.5" x14ac:dyDescent="0.3">
      <c r="A24" s="71"/>
      <c r="B24" s="91"/>
      <c r="C24" s="32" t="s">
        <v>17</v>
      </c>
      <c r="D24" s="38">
        <v>4</v>
      </c>
      <c r="E24" s="38">
        <v>5</v>
      </c>
      <c r="F24" s="38">
        <v>3</v>
      </c>
      <c r="G24" s="38">
        <v>4</v>
      </c>
      <c r="H24" s="38">
        <v>2</v>
      </c>
      <c r="I24" s="38">
        <v>5</v>
      </c>
      <c r="J24" s="38">
        <v>4</v>
      </c>
      <c r="K24" s="38">
        <v>6</v>
      </c>
      <c r="L24" s="38">
        <v>5</v>
      </c>
      <c r="M24" s="38">
        <v>6</v>
      </c>
      <c r="N24" s="38">
        <v>7</v>
      </c>
      <c r="O24" s="38">
        <v>5</v>
      </c>
      <c r="P24" s="33">
        <f t="shared" si="4"/>
        <v>56</v>
      </c>
      <c r="Q24" s="63">
        <f t="shared" si="5"/>
        <v>4.666666666666667</v>
      </c>
    </row>
    <row r="25" spans="1:17" ht="15.5" x14ac:dyDescent="0.3">
      <c r="A25" s="71"/>
      <c r="B25" s="91"/>
      <c r="C25" s="32" t="s">
        <v>18</v>
      </c>
      <c r="D25" s="38">
        <v>6</v>
      </c>
      <c r="E25" s="38">
        <v>1</v>
      </c>
      <c r="F25" s="38">
        <v>2</v>
      </c>
      <c r="G25" s="38">
        <v>4</v>
      </c>
      <c r="H25" s="38">
        <v>4</v>
      </c>
      <c r="I25" s="38">
        <v>3</v>
      </c>
      <c r="J25" s="38">
        <v>4</v>
      </c>
      <c r="K25" s="38">
        <v>5</v>
      </c>
      <c r="L25" s="38">
        <v>2</v>
      </c>
      <c r="M25" s="38">
        <v>5</v>
      </c>
      <c r="N25" s="38">
        <v>4</v>
      </c>
      <c r="O25" s="38">
        <v>5</v>
      </c>
      <c r="P25" s="33">
        <f t="shared" si="4"/>
        <v>45</v>
      </c>
      <c r="Q25" s="63">
        <f t="shared" si="5"/>
        <v>3.75</v>
      </c>
    </row>
    <row r="26" spans="1:17" ht="15.5" x14ac:dyDescent="0.3">
      <c r="A26" s="71"/>
      <c r="B26" s="91"/>
      <c r="C26" s="32" t="s">
        <v>19</v>
      </c>
      <c r="D26" s="37">
        <v>0</v>
      </c>
      <c r="E26" s="37">
        <v>2</v>
      </c>
      <c r="F26" s="37">
        <v>4</v>
      </c>
      <c r="G26" s="37">
        <v>3</v>
      </c>
      <c r="H26" s="37">
        <v>2</v>
      </c>
      <c r="I26" s="37">
        <v>4</v>
      </c>
      <c r="J26" s="37">
        <v>1</v>
      </c>
      <c r="K26" s="37">
        <v>2</v>
      </c>
      <c r="L26" s="37">
        <v>2</v>
      </c>
      <c r="M26" s="37">
        <v>3</v>
      </c>
      <c r="N26" s="37">
        <v>1</v>
      </c>
      <c r="O26" s="37">
        <v>4</v>
      </c>
      <c r="P26" s="33">
        <f t="shared" si="4"/>
        <v>28</v>
      </c>
      <c r="Q26" s="63">
        <f t="shared" si="5"/>
        <v>2.3333333333333335</v>
      </c>
    </row>
    <row r="27" spans="1:17" ht="15.5" x14ac:dyDescent="0.3">
      <c r="A27" s="71"/>
      <c r="B27" s="91"/>
      <c r="C27" s="32" t="s">
        <v>20</v>
      </c>
      <c r="D27" s="37">
        <v>2</v>
      </c>
      <c r="E27" s="37">
        <v>1</v>
      </c>
      <c r="F27" s="37">
        <v>1</v>
      </c>
      <c r="G27" s="37">
        <v>3</v>
      </c>
      <c r="H27" s="37">
        <v>3</v>
      </c>
      <c r="I27" s="37">
        <v>4</v>
      </c>
      <c r="J27" s="37">
        <v>2</v>
      </c>
      <c r="K27" s="37">
        <v>2</v>
      </c>
      <c r="L27" s="37">
        <v>3</v>
      </c>
      <c r="M27" s="37">
        <v>3</v>
      </c>
      <c r="N27" s="37">
        <v>2</v>
      </c>
      <c r="O27" s="37">
        <v>1</v>
      </c>
      <c r="P27" s="33">
        <f t="shared" si="4"/>
        <v>27</v>
      </c>
      <c r="Q27" s="63">
        <f t="shared" si="5"/>
        <v>2.25</v>
      </c>
    </row>
    <row r="28" spans="1:17" ht="15.5" x14ac:dyDescent="0.3">
      <c r="A28" s="71"/>
      <c r="B28" s="91"/>
      <c r="C28" s="32" t="s">
        <v>21</v>
      </c>
      <c r="D28" s="37">
        <v>3</v>
      </c>
      <c r="E28" s="37">
        <v>4</v>
      </c>
      <c r="F28" s="37">
        <v>3</v>
      </c>
      <c r="G28" s="37">
        <v>2</v>
      </c>
      <c r="H28" s="37">
        <v>1</v>
      </c>
      <c r="I28" s="37">
        <v>3</v>
      </c>
      <c r="J28" s="37">
        <v>3</v>
      </c>
      <c r="K28" s="37">
        <v>3</v>
      </c>
      <c r="L28" s="37">
        <v>3</v>
      </c>
      <c r="M28" s="37">
        <v>4</v>
      </c>
      <c r="N28" s="37">
        <v>2</v>
      </c>
      <c r="O28" s="37">
        <v>2</v>
      </c>
      <c r="P28" s="33">
        <f t="shared" si="4"/>
        <v>33</v>
      </c>
      <c r="Q28" s="63">
        <f t="shared" si="5"/>
        <v>2.75</v>
      </c>
    </row>
    <row r="29" spans="1:17" x14ac:dyDescent="0.3">
      <c r="A29" s="71"/>
      <c r="B29" s="91"/>
      <c r="C29" s="31" t="s">
        <v>48</v>
      </c>
      <c r="D29" s="34">
        <f>SUM(D20:D28)</f>
        <v>26</v>
      </c>
      <c r="E29" s="34">
        <f t="shared" ref="E29:O29" si="6">SUM(E20:E28)</f>
        <v>26</v>
      </c>
      <c r="F29" s="34">
        <f t="shared" si="6"/>
        <v>21</v>
      </c>
      <c r="G29" s="34">
        <f t="shared" si="6"/>
        <v>29</v>
      </c>
      <c r="H29" s="34">
        <f t="shared" si="6"/>
        <v>24</v>
      </c>
      <c r="I29" s="34">
        <f t="shared" si="6"/>
        <v>31</v>
      </c>
      <c r="J29" s="34">
        <f t="shared" si="6"/>
        <v>28</v>
      </c>
      <c r="K29" s="34">
        <f t="shared" si="6"/>
        <v>28</v>
      </c>
      <c r="L29" s="34">
        <f t="shared" si="6"/>
        <v>31</v>
      </c>
      <c r="M29" s="34">
        <f t="shared" si="6"/>
        <v>36</v>
      </c>
      <c r="N29" s="34">
        <f t="shared" si="6"/>
        <v>26</v>
      </c>
      <c r="O29" s="34">
        <f t="shared" si="6"/>
        <v>28</v>
      </c>
      <c r="P29" s="33">
        <f t="shared" si="4"/>
        <v>334</v>
      </c>
      <c r="Q29" s="63"/>
    </row>
    <row r="30" spans="1:17" x14ac:dyDescent="0.3">
      <c r="A30" s="72"/>
      <c r="B30" s="92"/>
      <c r="C30" s="31" t="s">
        <v>47</v>
      </c>
      <c r="D30" s="63">
        <f>AVERAGE(D20:D28)</f>
        <v>2.8888888888888888</v>
      </c>
      <c r="E30" s="63">
        <f t="shared" ref="E30:O30" si="7">AVERAGE(E20:E28)</f>
        <v>2.8888888888888888</v>
      </c>
      <c r="F30" s="63">
        <f t="shared" si="7"/>
        <v>2.3333333333333335</v>
      </c>
      <c r="G30" s="63">
        <f t="shared" si="7"/>
        <v>3.2222222222222223</v>
      </c>
      <c r="H30" s="63">
        <f t="shared" si="7"/>
        <v>2.6666666666666665</v>
      </c>
      <c r="I30" s="63">
        <f t="shared" si="7"/>
        <v>3.4444444444444446</v>
      </c>
      <c r="J30" s="63">
        <f t="shared" si="7"/>
        <v>3.1111111111111112</v>
      </c>
      <c r="K30" s="63">
        <f t="shared" si="7"/>
        <v>3.1111111111111112</v>
      </c>
      <c r="L30" s="63">
        <f t="shared" si="7"/>
        <v>3.4444444444444446</v>
      </c>
      <c r="M30" s="63">
        <f t="shared" si="7"/>
        <v>4</v>
      </c>
      <c r="N30" s="63">
        <f t="shared" si="7"/>
        <v>2.8888888888888888</v>
      </c>
      <c r="O30" s="63">
        <f t="shared" si="7"/>
        <v>3.1111111111111112</v>
      </c>
      <c r="P30" s="2"/>
      <c r="Q30" s="63"/>
    </row>
    <row r="31" spans="1:17" x14ac:dyDescent="0.3">
      <c r="Q31" s="55"/>
    </row>
    <row r="32" spans="1:17" x14ac:dyDescent="0.3">
      <c r="A32" s="3" t="s">
        <v>29</v>
      </c>
      <c r="B32" s="3" t="s">
        <v>35</v>
      </c>
      <c r="C32" s="73" t="s">
        <v>2</v>
      </c>
      <c r="D32" s="75" t="s">
        <v>3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0" t="s">
        <v>48</v>
      </c>
      <c r="Q32" s="87" t="s">
        <v>47</v>
      </c>
    </row>
    <row r="33" spans="1:17" x14ac:dyDescent="0.3">
      <c r="A33" s="70">
        <v>3</v>
      </c>
      <c r="B33" s="90" t="s">
        <v>53</v>
      </c>
      <c r="C33" s="73"/>
      <c r="D33" s="75" t="s">
        <v>4</v>
      </c>
      <c r="E33" s="75"/>
      <c r="F33" s="75"/>
      <c r="G33" s="75"/>
      <c r="H33" s="75" t="s">
        <v>11</v>
      </c>
      <c r="I33" s="75"/>
      <c r="J33" s="75"/>
      <c r="K33" s="75"/>
      <c r="L33" s="75" t="s">
        <v>12</v>
      </c>
      <c r="M33" s="75"/>
      <c r="N33" s="75"/>
      <c r="O33" s="75"/>
      <c r="P33" s="71"/>
      <c r="Q33" s="88"/>
    </row>
    <row r="34" spans="1:17" x14ac:dyDescent="0.3">
      <c r="A34" s="71"/>
      <c r="B34" s="91"/>
      <c r="C34" s="73"/>
      <c r="D34" s="29" t="s">
        <v>5</v>
      </c>
      <c r="E34" s="29" t="s">
        <v>7</v>
      </c>
      <c r="F34" s="29" t="s">
        <v>8</v>
      </c>
      <c r="G34" s="29" t="s">
        <v>10</v>
      </c>
      <c r="H34" s="29" t="s">
        <v>5</v>
      </c>
      <c r="I34" s="29" t="s">
        <v>7</v>
      </c>
      <c r="J34" s="29" t="s">
        <v>8</v>
      </c>
      <c r="K34" s="29" t="s">
        <v>10</v>
      </c>
      <c r="L34" s="29" t="s">
        <v>5</v>
      </c>
      <c r="M34" s="29" t="s">
        <v>7</v>
      </c>
      <c r="N34" s="29" t="s">
        <v>8</v>
      </c>
      <c r="O34" s="29" t="s">
        <v>10</v>
      </c>
      <c r="P34" s="72"/>
      <c r="Q34" s="89"/>
    </row>
    <row r="35" spans="1:17" ht="15.5" x14ac:dyDescent="0.3">
      <c r="A35" s="71"/>
      <c r="B35" s="91"/>
      <c r="C35" s="32" t="s">
        <v>13</v>
      </c>
      <c r="D35" s="37">
        <v>1</v>
      </c>
      <c r="E35" s="37">
        <v>0</v>
      </c>
      <c r="F35" s="37">
        <v>2</v>
      </c>
      <c r="G35" s="37">
        <v>3</v>
      </c>
      <c r="H35" s="37">
        <v>0</v>
      </c>
      <c r="I35" s="37">
        <v>2</v>
      </c>
      <c r="J35" s="37">
        <v>2</v>
      </c>
      <c r="K35" s="37">
        <v>1</v>
      </c>
      <c r="L35" s="37">
        <v>2</v>
      </c>
      <c r="M35" s="37">
        <v>1</v>
      </c>
      <c r="N35" s="37">
        <v>2</v>
      </c>
      <c r="O35" s="37">
        <v>2</v>
      </c>
      <c r="P35" s="33">
        <f>SUM(D35:O35)</f>
        <v>18</v>
      </c>
      <c r="Q35" s="63">
        <f>AVERAGE(D35:O35)</f>
        <v>1.5</v>
      </c>
    </row>
    <row r="36" spans="1:17" ht="15.5" x14ac:dyDescent="0.3">
      <c r="A36" s="71"/>
      <c r="B36" s="91"/>
      <c r="C36" s="32" t="s">
        <v>14</v>
      </c>
      <c r="D36" s="37">
        <v>2</v>
      </c>
      <c r="E36" s="37">
        <v>3</v>
      </c>
      <c r="F36" s="37">
        <v>4</v>
      </c>
      <c r="G36" s="37">
        <v>2</v>
      </c>
      <c r="H36" s="37">
        <v>3</v>
      </c>
      <c r="I36" s="37">
        <v>2</v>
      </c>
      <c r="J36" s="37">
        <v>3</v>
      </c>
      <c r="K36" s="37">
        <v>5</v>
      </c>
      <c r="L36" s="37">
        <v>3</v>
      </c>
      <c r="M36" s="37">
        <v>2</v>
      </c>
      <c r="N36" s="37">
        <v>0</v>
      </c>
      <c r="O36" s="37">
        <v>2</v>
      </c>
      <c r="P36" s="33">
        <f t="shared" ref="P36:P44" si="8">SUM(D36:O36)</f>
        <v>31</v>
      </c>
      <c r="Q36" s="63">
        <f t="shared" ref="Q36:Q43" si="9">AVERAGE(D36:O36)</f>
        <v>2.5833333333333335</v>
      </c>
    </row>
    <row r="37" spans="1:17" ht="15.5" x14ac:dyDescent="0.3">
      <c r="A37" s="71"/>
      <c r="B37" s="91"/>
      <c r="C37" s="32" t="s">
        <v>15</v>
      </c>
      <c r="D37" s="37">
        <v>3</v>
      </c>
      <c r="E37" s="37">
        <v>4</v>
      </c>
      <c r="F37" s="37">
        <v>5</v>
      </c>
      <c r="G37" s="37">
        <v>2</v>
      </c>
      <c r="H37" s="37">
        <v>3</v>
      </c>
      <c r="I37" s="37">
        <v>6</v>
      </c>
      <c r="J37" s="37">
        <v>3</v>
      </c>
      <c r="K37" s="37">
        <v>2</v>
      </c>
      <c r="L37" s="37">
        <v>4</v>
      </c>
      <c r="M37" s="37">
        <v>3</v>
      </c>
      <c r="N37" s="37">
        <v>2</v>
      </c>
      <c r="O37" s="37">
        <v>2</v>
      </c>
      <c r="P37" s="33">
        <f t="shared" si="8"/>
        <v>39</v>
      </c>
      <c r="Q37" s="63">
        <f t="shared" si="9"/>
        <v>3.25</v>
      </c>
    </row>
    <row r="38" spans="1:17" ht="15.5" x14ac:dyDescent="0.3">
      <c r="A38" s="71"/>
      <c r="B38" s="91"/>
      <c r="C38" s="32" t="s">
        <v>16</v>
      </c>
      <c r="D38" s="38">
        <v>4</v>
      </c>
      <c r="E38" s="38">
        <v>5</v>
      </c>
      <c r="F38" s="38">
        <v>3</v>
      </c>
      <c r="G38" s="38">
        <v>7</v>
      </c>
      <c r="H38" s="38">
        <v>4</v>
      </c>
      <c r="I38" s="38">
        <v>5</v>
      </c>
      <c r="J38" s="38">
        <v>6</v>
      </c>
      <c r="K38" s="38">
        <v>7</v>
      </c>
      <c r="L38" s="38">
        <v>7</v>
      </c>
      <c r="M38" s="38">
        <v>5</v>
      </c>
      <c r="N38" s="38">
        <v>8</v>
      </c>
      <c r="O38" s="38">
        <v>7</v>
      </c>
      <c r="P38" s="33">
        <f t="shared" si="8"/>
        <v>68</v>
      </c>
      <c r="Q38" s="63">
        <f t="shared" si="9"/>
        <v>5.666666666666667</v>
      </c>
    </row>
    <row r="39" spans="1:17" ht="15.5" x14ac:dyDescent="0.3">
      <c r="A39" s="71"/>
      <c r="B39" s="91"/>
      <c r="C39" s="32" t="s">
        <v>17</v>
      </c>
      <c r="D39" s="38">
        <v>5</v>
      </c>
      <c r="E39" s="38">
        <v>6</v>
      </c>
      <c r="F39" s="38">
        <v>6</v>
      </c>
      <c r="G39" s="38">
        <v>5</v>
      </c>
      <c r="H39" s="38">
        <v>3</v>
      </c>
      <c r="I39" s="38">
        <v>7</v>
      </c>
      <c r="J39" s="38">
        <v>5</v>
      </c>
      <c r="K39" s="38">
        <v>8</v>
      </c>
      <c r="L39" s="38">
        <v>6</v>
      </c>
      <c r="M39" s="38">
        <v>8</v>
      </c>
      <c r="N39" s="38">
        <v>9</v>
      </c>
      <c r="O39" s="38">
        <v>8</v>
      </c>
      <c r="P39" s="33">
        <f t="shared" si="8"/>
        <v>76</v>
      </c>
      <c r="Q39" s="63">
        <f t="shared" si="9"/>
        <v>6.333333333333333</v>
      </c>
    </row>
    <row r="40" spans="1:17" ht="15.5" x14ac:dyDescent="0.3">
      <c r="A40" s="71"/>
      <c r="B40" s="91"/>
      <c r="C40" s="32" t="s">
        <v>18</v>
      </c>
      <c r="D40" s="38">
        <v>7</v>
      </c>
      <c r="E40" s="38">
        <v>4</v>
      </c>
      <c r="F40" s="38">
        <v>5</v>
      </c>
      <c r="G40" s="38">
        <v>5</v>
      </c>
      <c r="H40" s="38">
        <v>6</v>
      </c>
      <c r="I40" s="38">
        <v>5</v>
      </c>
      <c r="J40" s="38">
        <v>4</v>
      </c>
      <c r="K40" s="38">
        <v>4</v>
      </c>
      <c r="L40" s="38">
        <v>5</v>
      </c>
      <c r="M40" s="38">
        <v>6</v>
      </c>
      <c r="N40" s="38">
        <v>7</v>
      </c>
      <c r="O40" s="38">
        <v>8</v>
      </c>
      <c r="P40" s="33">
        <f t="shared" si="8"/>
        <v>66</v>
      </c>
      <c r="Q40" s="63">
        <f t="shared" si="9"/>
        <v>5.5</v>
      </c>
    </row>
    <row r="41" spans="1:17" ht="15.5" x14ac:dyDescent="0.3">
      <c r="A41" s="71"/>
      <c r="B41" s="91"/>
      <c r="C41" s="32" t="s">
        <v>19</v>
      </c>
      <c r="D41" s="37">
        <v>2</v>
      </c>
      <c r="E41" s="37">
        <v>0</v>
      </c>
      <c r="F41" s="37">
        <v>3</v>
      </c>
      <c r="G41" s="37">
        <v>1</v>
      </c>
      <c r="H41" s="37">
        <v>3</v>
      </c>
      <c r="I41" s="37">
        <v>2</v>
      </c>
      <c r="J41" s="37">
        <v>1</v>
      </c>
      <c r="K41" s="37">
        <v>1</v>
      </c>
      <c r="L41" s="37">
        <v>3</v>
      </c>
      <c r="M41" s="37">
        <v>3</v>
      </c>
      <c r="N41" s="37">
        <v>2</v>
      </c>
      <c r="O41" s="37">
        <v>2</v>
      </c>
      <c r="P41" s="33">
        <f t="shared" si="8"/>
        <v>23</v>
      </c>
      <c r="Q41" s="63">
        <f t="shared" si="9"/>
        <v>1.9166666666666667</v>
      </c>
    </row>
    <row r="42" spans="1:17" ht="15.5" x14ac:dyDescent="0.3">
      <c r="A42" s="71"/>
      <c r="B42" s="91"/>
      <c r="C42" s="32" t="s">
        <v>20</v>
      </c>
      <c r="D42" s="37">
        <v>1</v>
      </c>
      <c r="E42" s="37">
        <v>1</v>
      </c>
      <c r="F42" s="37">
        <v>0</v>
      </c>
      <c r="G42" s="37">
        <v>1</v>
      </c>
      <c r="H42" s="37">
        <v>0</v>
      </c>
      <c r="I42" s="37">
        <v>2</v>
      </c>
      <c r="J42" s="37">
        <v>2</v>
      </c>
      <c r="K42" s="37">
        <v>3</v>
      </c>
      <c r="L42" s="37">
        <v>1</v>
      </c>
      <c r="M42" s="37">
        <v>1</v>
      </c>
      <c r="N42" s="37">
        <v>1</v>
      </c>
      <c r="O42" s="37">
        <v>2</v>
      </c>
      <c r="P42" s="33">
        <f t="shared" si="8"/>
        <v>15</v>
      </c>
      <c r="Q42" s="63">
        <f t="shared" si="9"/>
        <v>1.25</v>
      </c>
    </row>
    <row r="43" spans="1:17" ht="15.5" x14ac:dyDescent="0.3">
      <c r="A43" s="71"/>
      <c r="B43" s="91"/>
      <c r="C43" s="32" t="s">
        <v>21</v>
      </c>
      <c r="D43" s="37">
        <v>2</v>
      </c>
      <c r="E43" s="37">
        <v>1</v>
      </c>
      <c r="F43" s="37">
        <v>2</v>
      </c>
      <c r="G43" s="37">
        <v>6</v>
      </c>
      <c r="H43" s="37">
        <v>0</v>
      </c>
      <c r="I43" s="37">
        <v>2</v>
      </c>
      <c r="J43" s="37">
        <v>2</v>
      </c>
      <c r="K43" s="37">
        <v>3</v>
      </c>
      <c r="L43" s="37">
        <v>2</v>
      </c>
      <c r="M43" s="37">
        <v>2</v>
      </c>
      <c r="N43" s="37">
        <v>1</v>
      </c>
      <c r="O43" s="37">
        <v>3</v>
      </c>
      <c r="P43" s="33">
        <f t="shared" si="8"/>
        <v>26</v>
      </c>
      <c r="Q43" s="63">
        <f t="shared" si="9"/>
        <v>2.1666666666666665</v>
      </c>
    </row>
    <row r="44" spans="1:17" x14ac:dyDescent="0.3">
      <c r="A44" s="71"/>
      <c r="B44" s="91"/>
      <c r="C44" s="31" t="s">
        <v>48</v>
      </c>
      <c r="D44" s="34">
        <f>SUM(D35:D43)</f>
        <v>27</v>
      </c>
      <c r="E44" s="34">
        <f t="shared" ref="E44:O44" si="10">SUM(E35:E43)</f>
        <v>24</v>
      </c>
      <c r="F44" s="34">
        <f t="shared" si="10"/>
        <v>30</v>
      </c>
      <c r="G44" s="34">
        <f t="shared" si="10"/>
        <v>32</v>
      </c>
      <c r="H44" s="34">
        <f t="shared" si="10"/>
        <v>22</v>
      </c>
      <c r="I44" s="34">
        <f t="shared" si="10"/>
        <v>33</v>
      </c>
      <c r="J44" s="34">
        <f t="shared" si="10"/>
        <v>28</v>
      </c>
      <c r="K44" s="34">
        <f t="shared" si="10"/>
        <v>34</v>
      </c>
      <c r="L44" s="34">
        <f t="shared" si="10"/>
        <v>33</v>
      </c>
      <c r="M44" s="34">
        <f t="shared" si="10"/>
        <v>31</v>
      </c>
      <c r="N44" s="34">
        <f t="shared" si="10"/>
        <v>32</v>
      </c>
      <c r="O44" s="34">
        <f t="shared" si="10"/>
        <v>36</v>
      </c>
      <c r="P44" s="33">
        <f t="shared" si="8"/>
        <v>362</v>
      </c>
      <c r="Q44" s="63"/>
    </row>
    <row r="45" spans="1:17" x14ac:dyDescent="0.3">
      <c r="A45" s="72"/>
      <c r="B45" s="92"/>
      <c r="C45" s="31" t="s">
        <v>47</v>
      </c>
      <c r="D45" s="63">
        <f>AVERAGE(D35:D43)</f>
        <v>3</v>
      </c>
      <c r="E45" s="63">
        <f t="shared" ref="E45:O45" si="11">AVERAGE(E35:E43)</f>
        <v>2.6666666666666665</v>
      </c>
      <c r="F45" s="63">
        <f t="shared" si="11"/>
        <v>3.3333333333333335</v>
      </c>
      <c r="G45" s="63">
        <f t="shared" si="11"/>
        <v>3.5555555555555554</v>
      </c>
      <c r="H45" s="63">
        <f t="shared" si="11"/>
        <v>2.4444444444444446</v>
      </c>
      <c r="I45" s="63">
        <f t="shared" si="11"/>
        <v>3.6666666666666665</v>
      </c>
      <c r="J45" s="63">
        <f t="shared" si="11"/>
        <v>3.1111111111111112</v>
      </c>
      <c r="K45" s="63">
        <f t="shared" si="11"/>
        <v>3.7777777777777777</v>
      </c>
      <c r="L45" s="63">
        <f t="shared" si="11"/>
        <v>3.6666666666666665</v>
      </c>
      <c r="M45" s="63">
        <f t="shared" si="11"/>
        <v>3.4444444444444446</v>
      </c>
      <c r="N45" s="63">
        <f t="shared" si="11"/>
        <v>3.5555555555555554</v>
      </c>
      <c r="O45" s="63">
        <f t="shared" si="11"/>
        <v>4</v>
      </c>
      <c r="P45" s="2"/>
      <c r="Q45" s="63"/>
    </row>
    <row r="46" spans="1:17" x14ac:dyDescent="0.3">
      <c r="Q46" s="55"/>
    </row>
    <row r="47" spans="1:17" x14ac:dyDescent="0.3">
      <c r="A47" s="3" t="s">
        <v>29</v>
      </c>
      <c r="B47" s="3" t="s">
        <v>35</v>
      </c>
      <c r="C47" s="73" t="s">
        <v>2</v>
      </c>
      <c r="D47" s="75" t="s">
        <v>3</v>
      </c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0" t="s">
        <v>48</v>
      </c>
      <c r="Q47" s="87" t="s">
        <v>47</v>
      </c>
    </row>
    <row r="48" spans="1:17" x14ac:dyDescent="0.3">
      <c r="A48" s="70">
        <v>4</v>
      </c>
      <c r="B48" s="90" t="s">
        <v>54</v>
      </c>
      <c r="C48" s="73"/>
      <c r="D48" s="75" t="s">
        <v>4</v>
      </c>
      <c r="E48" s="75"/>
      <c r="F48" s="75"/>
      <c r="G48" s="75"/>
      <c r="H48" s="75" t="s">
        <v>11</v>
      </c>
      <c r="I48" s="75"/>
      <c r="J48" s="75"/>
      <c r="K48" s="75"/>
      <c r="L48" s="75" t="s">
        <v>12</v>
      </c>
      <c r="M48" s="75"/>
      <c r="N48" s="75"/>
      <c r="O48" s="75"/>
      <c r="P48" s="71"/>
      <c r="Q48" s="88"/>
    </row>
    <row r="49" spans="1:17" x14ac:dyDescent="0.3">
      <c r="A49" s="71"/>
      <c r="B49" s="91"/>
      <c r="C49" s="73"/>
      <c r="D49" s="29" t="s">
        <v>5</v>
      </c>
      <c r="E49" s="29" t="s">
        <v>7</v>
      </c>
      <c r="F49" s="29" t="s">
        <v>8</v>
      </c>
      <c r="G49" s="29" t="s">
        <v>10</v>
      </c>
      <c r="H49" s="29" t="s">
        <v>5</v>
      </c>
      <c r="I49" s="29" t="s">
        <v>7</v>
      </c>
      <c r="J49" s="29" t="s">
        <v>8</v>
      </c>
      <c r="K49" s="29" t="s">
        <v>10</v>
      </c>
      <c r="L49" s="29" t="s">
        <v>5</v>
      </c>
      <c r="M49" s="29" t="s">
        <v>7</v>
      </c>
      <c r="N49" s="29" t="s">
        <v>8</v>
      </c>
      <c r="O49" s="29" t="s">
        <v>10</v>
      </c>
      <c r="P49" s="72"/>
      <c r="Q49" s="89"/>
    </row>
    <row r="50" spans="1:17" ht="15.5" x14ac:dyDescent="0.3">
      <c r="A50" s="71"/>
      <c r="B50" s="91"/>
      <c r="C50" s="32" t="s">
        <v>13</v>
      </c>
      <c r="D50" s="37">
        <v>3</v>
      </c>
      <c r="E50" s="37">
        <v>2</v>
      </c>
      <c r="F50" s="37">
        <v>4</v>
      </c>
      <c r="G50" s="37">
        <v>3</v>
      </c>
      <c r="H50" s="37">
        <v>2</v>
      </c>
      <c r="I50" s="37">
        <v>3</v>
      </c>
      <c r="J50" s="37">
        <v>3</v>
      </c>
      <c r="K50" s="37">
        <v>3</v>
      </c>
      <c r="L50" s="37">
        <v>3</v>
      </c>
      <c r="M50" s="37">
        <v>2</v>
      </c>
      <c r="N50" s="37">
        <v>4</v>
      </c>
      <c r="O50" s="37">
        <v>3</v>
      </c>
      <c r="P50" s="33">
        <f>SUM(D50:O50)</f>
        <v>35</v>
      </c>
      <c r="Q50" s="63">
        <f>AVERAGE(D50:O50)</f>
        <v>2.9166666666666665</v>
      </c>
    </row>
    <row r="51" spans="1:17" ht="15.5" x14ac:dyDescent="0.3">
      <c r="A51" s="71"/>
      <c r="B51" s="91"/>
      <c r="C51" s="32" t="s">
        <v>14</v>
      </c>
      <c r="D51" s="37">
        <v>3</v>
      </c>
      <c r="E51" s="37">
        <v>6</v>
      </c>
      <c r="F51" s="37">
        <v>2</v>
      </c>
      <c r="G51" s="37">
        <v>5</v>
      </c>
      <c r="H51" s="37">
        <v>7</v>
      </c>
      <c r="I51" s="37">
        <v>3</v>
      </c>
      <c r="J51" s="37">
        <v>4</v>
      </c>
      <c r="K51" s="37">
        <v>2</v>
      </c>
      <c r="L51" s="37">
        <v>5</v>
      </c>
      <c r="M51" s="37">
        <v>2</v>
      </c>
      <c r="N51" s="37">
        <v>3</v>
      </c>
      <c r="O51" s="37">
        <v>2</v>
      </c>
      <c r="P51" s="33">
        <f t="shared" ref="P51:P59" si="12">SUM(D51:O51)</f>
        <v>44</v>
      </c>
      <c r="Q51" s="63">
        <f t="shared" ref="Q51:Q58" si="13">AVERAGE(D51:O51)</f>
        <v>3.6666666666666665</v>
      </c>
    </row>
    <row r="52" spans="1:17" ht="15.5" x14ac:dyDescent="0.3">
      <c r="A52" s="71"/>
      <c r="B52" s="91"/>
      <c r="C52" s="32" t="s">
        <v>15</v>
      </c>
      <c r="D52" s="37">
        <v>2</v>
      </c>
      <c r="E52" s="37">
        <v>4</v>
      </c>
      <c r="F52" s="37">
        <v>3</v>
      </c>
      <c r="G52" s="37">
        <v>5</v>
      </c>
      <c r="H52" s="37">
        <v>2</v>
      </c>
      <c r="I52" s="37">
        <v>4</v>
      </c>
      <c r="J52" s="37">
        <v>3</v>
      </c>
      <c r="K52" s="37">
        <v>0</v>
      </c>
      <c r="L52" s="37">
        <v>3</v>
      </c>
      <c r="M52" s="37">
        <v>4</v>
      </c>
      <c r="N52" s="37">
        <v>2</v>
      </c>
      <c r="O52" s="37">
        <v>3</v>
      </c>
      <c r="P52" s="33">
        <f t="shared" si="12"/>
        <v>35</v>
      </c>
      <c r="Q52" s="63">
        <f t="shared" si="13"/>
        <v>2.9166666666666665</v>
      </c>
    </row>
    <row r="53" spans="1:17" ht="15.5" x14ac:dyDescent="0.3">
      <c r="A53" s="71"/>
      <c r="B53" s="91"/>
      <c r="C53" s="32" t="s">
        <v>16</v>
      </c>
      <c r="D53" s="38">
        <v>3</v>
      </c>
      <c r="E53" s="38">
        <v>4</v>
      </c>
      <c r="F53" s="38">
        <v>4</v>
      </c>
      <c r="G53" s="38">
        <v>6</v>
      </c>
      <c r="H53" s="38">
        <v>3</v>
      </c>
      <c r="I53" s="38">
        <v>4</v>
      </c>
      <c r="J53" s="38">
        <v>4</v>
      </c>
      <c r="K53" s="38">
        <v>6</v>
      </c>
      <c r="L53" s="38">
        <v>7</v>
      </c>
      <c r="M53" s="38">
        <v>6</v>
      </c>
      <c r="N53" s="38">
        <v>7</v>
      </c>
      <c r="O53" s="38">
        <v>7</v>
      </c>
      <c r="P53" s="33">
        <f t="shared" si="12"/>
        <v>61</v>
      </c>
      <c r="Q53" s="63">
        <f t="shared" si="13"/>
        <v>5.083333333333333</v>
      </c>
    </row>
    <row r="54" spans="1:17" ht="15.5" x14ac:dyDescent="0.3">
      <c r="A54" s="71"/>
      <c r="B54" s="91"/>
      <c r="C54" s="32" t="s">
        <v>17</v>
      </c>
      <c r="D54" s="38">
        <v>6</v>
      </c>
      <c r="E54" s="38">
        <v>5</v>
      </c>
      <c r="F54" s="38">
        <v>5</v>
      </c>
      <c r="G54" s="38">
        <v>6</v>
      </c>
      <c r="H54" s="38">
        <v>6</v>
      </c>
      <c r="I54" s="38">
        <v>5</v>
      </c>
      <c r="J54" s="38">
        <v>5</v>
      </c>
      <c r="K54" s="37">
        <v>4</v>
      </c>
      <c r="L54" s="38">
        <v>7</v>
      </c>
      <c r="M54" s="38">
        <v>7</v>
      </c>
      <c r="N54" s="38">
        <v>8</v>
      </c>
      <c r="O54" s="38">
        <v>9</v>
      </c>
      <c r="P54" s="33">
        <f t="shared" si="12"/>
        <v>73</v>
      </c>
      <c r="Q54" s="63">
        <f t="shared" si="13"/>
        <v>6.083333333333333</v>
      </c>
    </row>
    <row r="55" spans="1:17" ht="15.5" x14ac:dyDescent="0.3">
      <c r="A55" s="71"/>
      <c r="B55" s="91"/>
      <c r="C55" s="32" t="s">
        <v>18</v>
      </c>
      <c r="D55" s="38">
        <v>7</v>
      </c>
      <c r="E55" s="38">
        <v>5</v>
      </c>
      <c r="F55" s="38">
        <v>4</v>
      </c>
      <c r="G55" s="38">
        <v>6</v>
      </c>
      <c r="H55" s="38">
        <v>7</v>
      </c>
      <c r="I55" s="38">
        <v>5</v>
      </c>
      <c r="J55" s="38">
        <v>4</v>
      </c>
      <c r="K55" s="38">
        <v>6</v>
      </c>
      <c r="L55" s="38">
        <v>6</v>
      </c>
      <c r="M55" s="38">
        <v>4</v>
      </c>
      <c r="N55" s="38">
        <v>8</v>
      </c>
      <c r="O55" s="38">
        <v>7</v>
      </c>
      <c r="P55" s="33">
        <f t="shared" si="12"/>
        <v>69</v>
      </c>
      <c r="Q55" s="63">
        <f t="shared" si="13"/>
        <v>5.75</v>
      </c>
    </row>
    <row r="56" spans="1:17" ht="15.5" x14ac:dyDescent="0.3">
      <c r="A56" s="71"/>
      <c r="B56" s="91"/>
      <c r="C56" s="32" t="s">
        <v>19</v>
      </c>
      <c r="D56" s="37">
        <v>1</v>
      </c>
      <c r="E56" s="37">
        <v>2</v>
      </c>
      <c r="F56" s="37">
        <v>4</v>
      </c>
      <c r="G56" s="37">
        <v>3</v>
      </c>
      <c r="H56" s="37">
        <v>1</v>
      </c>
      <c r="I56" s="37">
        <v>2</v>
      </c>
      <c r="J56" s="37">
        <v>3</v>
      </c>
      <c r="K56" s="37">
        <v>3</v>
      </c>
      <c r="L56" s="37">
        <v>5</v>
      </c>
      <c r="M56" s="37">
        <v>3</v>
      </c>
      <c r="N56" s="37">
        <v>3</v>
      </c>
      <c r="O56" s="37">
        <v>4</v>
      </c>
      <c r="P56" s="33">
        <f t="shared" si="12"/>
        <v>34</v>
      </c>
      <c r="Q56" s="63">
        <f t="shared" si="13"/>
        <v>2.8333333333333335</v>
      </c>
    </row>
    <row r="57" spans="1:17" ht="15.5" x14ac:dyDescent="0.3">
      <c r="A57" s="71"/>
      <c r="B57" s="91"/>
      <c r="C57" s="32" t="s">
        <v>20</v>
      </c>
      <c r="D57" s="37">
        <v>3</v>
      </c>
      <c r="E57" s="37">
        <v>3</v>
      </c>
      <c r="F57" s="37">
        <v>4</v>
      </c>
      <c r="G57" s="37">
        <v>3</v>
      </c>
      <c r="H57" s="37">
        <v>3</v>
      </c>
      <c r="I57" s="37">
        <v>3</v>
      </c>
      <c r="J57" s="37">
        <v>4</v>
      </c>
      <c r="K57" s="37">
        <v>3</v>
      </c>
      <c r="L57" s="37">
        <v>2</v>
      </c>
      <c r="M57" s="37">
        <v>2</v>
      </c>
      <c r="N57" s="37">
        <v>3</v>
      </c>
      <c r="O57" s="37">
        <v>3</v>
      </c>
      <c r="P57" s="33">
        <f t="shared" si="12"/>
        <v>36</v>
      </c>
      <c r="Q57" s="63">
        <f t="shared" si="13"/>
        <v>3</v>
      </c>
    </row>
    <row r="58" spans="1:17" ht="15.5" x14ac:dyDescent="0.3">
      <c r="A58" s="71"/>
      <c r="B58" s="91"/>
      <c r="C58" s="32" t="s">
        <v>21</v>
      </c>
      <c r="D58" s="37">
        <v>4</v>
      </c>
      <c r="E58" s="37">
        <v>3</v>
      </c>
      <c r="F58" s="37">
        <v>4</v>
      </c>
      <c r="G58" s="37">
        <v>4</v>
      </c>
      <c r="H58" s="37">
        <v>4</v>
      </c>
      <c r="I58" s="37">
        <v>3</v>
      </c>
      <c r="J58" s="37">
        <v>4</v>
      </c>
      <c r="K58" s="37">
        <v>5</v>
      </c>
      <c r="L58" s="37">
        <v>3</v>
      </c>
      <c r="M58" s="37">
        <v>3</v>
      </c>
      <c r="N58" s="37">
        <v>2</v>
      </c>
      <c r="O58" s="37">
        <v>4</v>
      </c>
      <c r="P58" s="33">
        <f t="shared" si="12"/>
        <v>43</v>
      </c>
      <c r="Q58" s="63">
        <f t="shared" si="13"/>
        <v>3.5833333333333335</v>
      </c>
    </row>
    <row r="59" spans="1:17" x14ac:dyDescent="0.3">
      <c r="A59" s="71"/>
      <c r="B59" s="91"/>
      <c r="C59" s="31" t="s">
        <v>48</v>
      </c>
      <c r="D59" s="34">
        <f>SUM(D50:D58)</f>
        <v>32</v>
      </c>
      <c r="E59" s="34">
        <f t="shared" ref="E59:O59" si="14">SUM(E50:E58)</f>
        <v>34</v>
      </c>
      <c r="F59" s="34">
        <f t="shared" si="14"/>
        <v>34</v>
      </c>
      <c r="G59" s="34">
        <f t="shared" si="14"/>
        <v>41</v>
      </c>
      <c r="H59" s="34">
        <f t="shared" si="14"/>
        <v>35</v>
      </c>
      <c r="I59" s="34">
        <f t="shared" si="14"/>
        <v>32</v>
      </c>
      <c r="J59" s="34">
        <f t="shared" si="14"/>
        <v>34</v>
      </c>
      <c r="K59" s="34">
        <f t="shared" si="14"/>
        <v>32</v>
      </c>
      <c r="L59" s="34">
        <f t="shared" si="14"/>
        <v>41</v>
      </c>
      <c r="M59" s="34">
        <f t="shared" si="14"/>
        <v>33</v>
      </c>
      <c r="N59" s="34">
        <f t="shared" si="14"/>
        <v>40</v>
      </c>
      <c r="O59" s="34">
        <f t="shared" si="14"/>
        <v>42</v>
      </c>
      <c r="P59" s="33">
        <f t="shared" si="12"/>
        <v>430</v>
      </c>
      <c r="Q59" s="63"/>
    </row>
    <row r="60" spans="1:17" x14ac:dyDescent="0.3">
      <c r="A60" s="72"/>
      <c r="B60" s="92"/>
      <c r="C60" s="31" t="s">
        <v>47</v>
      </c>
      <c r="D60" s="63">
        <f>AVERAGE(D50:D58)</f>
        <v>3.5555555555555554</v>
      </c>
      <c r="E60" s="63">
        <f t="shared" ref="E60:O60" si="15">AVERAGE(E50:E58)</f>
        <v>3.7777777777777777</v>
      </c>
      <c r="F60" s="63">
        <f t="shared" si="15"/>
        <v>3.7777777777777777</v>
      </c>
      <c r="G60" s="63">
        <f t="shared" si="15"/>
        <v>4.5555555555555554</v>
      </c>
      <c r="H60" s="63">
        <f t="shared" si="15"/>
        <v>3.8888888888888888</v>
      </c>
      <c r="I60" s="63">
        <f t="shared" si="15"/>
        <v>3.5555555555555554</v>
      </c>
      <c r="J60" s="63">
        <f t="shared" si="15"/>
        <v>3.7777777777777777</v>
      </c>
      <c r="K60" s="63">
        <f t="shared" si="15"/>
        <v>3.5555555555555554</v>
      </c>
      <c r="L60" s="63">
        <f t="shared" si="15"/>
        <v>4.5555555555555554</v>
      </c>
      <c r="M60" s="63">
        <f t="shared" si="15"/>
        <v>3.6666666666666665</v>
      </c>
      <c r="N60" s="63">
        <f t="shared" si="15"/>
        <v>4.4444444444444446</v>
      </c>
      <c r="O60" s="63">
        <f t="shared" si="15"/>
        <v>4.666666666666667</v>
      </c>
      <c r="P60" s="2"/>
      <c r="Q60" s="63"/>
    </row>
    <row r="61" spans="1:17" x14ac:dyDescent="0.3">
      <c r="Q61" s="55"/>
    </row>
    <row r="62" spans="1:17" x14ac:dyDescent="0.3">
      <c r="A62" s="3" t="s">
        <v>29</v>
      </c>
      <c r="B62" s="3" t="s">
        <v>35</v>
      </c>
      <c r="C62" s="73" t="s">
        <v>2</v>
      </c>
      <c r="D62" s="75" t="s">
        <v>3</v>
      </c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0" t="s">
        <v>48</v>
      </c>
      <c r="Q62" s="87" t="s">
        <v>47</v>
      </c>
    </row>
    <row r="63" spans="1:17" x14ac:dyDescent="0.3">
      <c r="A63" s="70">
        <v>5</v>
      </c>
      <c r="B63" s="90" t="s">
        <v>55</v>
      </c>
      <c r="C63" s="73"/>
      <c r="D63" s="75" t="s">
        <v>4</v>
      </c>
      <c r="E63" s="75"/>
      <c r="F63" s="75"/>
      <c r="G63" s="75"/>
      <c r="H63" s="75" t="s">
        <v>11</v>
      </c>
      <c r="I63" s="75"/>
      <c r="J63" s="75"/>
      <c r="K63" s="75"/>
      <c r="L63" s="75" t="s">
        <v>12</v>
      </c>
      <c r="M63" s="75"/>
      <c r="N63" s="75"/>
      <c r="O63" s="75"/>
      <c r="P63" s="71"/>
      <c r="Q63" s="88"/>
    </row>
    <row r="64" spans="1:17" x14ac:dyDescent="0.3">
      <c r="A64" s="71"/>
      <c r="B64" s="91"/>
      <c r="C64" s="73"/>
      <c r="D64" s="29" t="s">
        <v>5</v>
      </c>
      <c r="E64" s="29" t="s">
        <v>7</v>
      </c>
      <c r="F64" s="29" t="s">
        <v>8</v>
      </c>
      <c r="G64" s="29" t="s">
        <v>10</v>
      </c>
      <c r="H64" s="29" t="s">
        <v>5</v>
      </c>
      <c r="I64" s="29" t="s">
        <v>7</v>
      </c>
      <c r="J64" s="29" t="s">
        <v>8</v>
      </c>
      <c r="K64" s="29" t="s">
        <v>10</v>
      </c>
      <c r="L64" s="29" t="s">
        <v>5</v>
      </c>
      <c r="M64" s="29" t="s">
        <v>7</v>
      </c>
      <c r="N64" s="29" t="s">
        <v>8</v>
      </c>
      <c r="O64" s="29" t="s">
        <v>10</v>
      </c>
      <c r="P64" s="72"/>
      <c r="Q64" s="89"/>
    </row>
    <row r="65" spans="1:17" ht="15.5" x14ac:dyDescent="0.3">
      <c r="A65" s="71"/>
      <c r="B65" s="91"/>
      <c r="C65" s="32" t="s">
        <v>13</v>
      </c>
      <c r="D65" s="37">
        <v>2</v>
      </c>
      <c r="E65" s="37">
        <v>1</v>
      </c>
      <c r="F65" s="37">
        <v>0</v>
      </c>
      <c r="G65" s="37">
        <v>2</v>
      </c>
      <c r="H65" s="37">
        <v>3</v>
      </c>
      <c r="I65" s="37">
        <v>2</v>
      </c>
      <c r="J65" s="37">
        <v>3</v>
      </c>
      <c r="K65" s="37">
        <v>1</v>
      </c>
      <c r="L65" s="37">
        <v>0</v>
      </c>
      <c r="M65" s="37">
        <v>2</v>
      </c>
      <c r="N65" s="37">
        <v>1</v>
      </c>
      <c r="O65" s="37">
        <v>2</v>
      </c>
      <c r="P65" s="33">
        <f>SUM(D65:O65)</f>
        <v>19</v>
      </c>
      <c r="Q65" s="63">
        <f>AVERAGE(D65:O65)</f>
        <v>1.5833333333333333</v>
      </c>
    </row>
    <row r="66" spans="1:17" ht="15.5" x14ac:dyDescent="0.3">
      <c r="A66" s="71"/>
      <c r="B66" s="91"/>
      <c r="C66" s="32" t="s">
        <v>14</v>
      </c>
      <c r="D66" s="37">
        <v>3</v>
      </c>
      <c r="E66" s="37">
        <v>0</v>
      </c>
      <c r="F66" s="37">
        <v>4</v>
      </c>
      <c r="G66" s="37">
        <v>6</v>
      </c>
      <c r="H66" s="37">
        <v>7</v>
      </c>
      <c r="I66" s="37">
        <v>4</v>
      </c>
      <c r="J66" s="37">
        <v>5</v>
      </c>
      <c r="K66" s="37">
        <v>3</v>
      </c>
      <c r="L66" s="37">
        <v>0</v>
      </c>
      <c r="M66" s="37">
        <v>5</v>
      </c>
      <c r="N66" s="37">
        <v>6</v>
      </c>
      <c r="O66" s="37">
        <v>3</v>
      </c>
      <c r="P66" s="33">
        <f t="shared" ref="P66:P74" si="16">SUM(D66:O66)</f>
        <v>46</v>
      </c>
      <c r="Q66" s="63">
        <f t="shared" ref="Q66:Q73" si="17">AVERAGE(D66:O66)</f>
        <v>3.8333333333333335</v>
      </c>
    </row>
    <row r="67" spans="1:17" ht="15.5" x14ac:dyDescent="0.3">
      <c r="A67" s="71"/>
      <c r="B67" s="91"/>
      <c r="C67" s="32" t="s">
        <v>15</v>
      </c>
      <c r="D67" s="37">
        <v>3</v>
      </c>
      <c r="E67" s="37">
        <v>5</v>
      </c>
      <c r="F67" s="37">
        <v>3</v>
      </c>
      <c r="G67" s="37">
        <v>6</v>
      </c>
      <c r="H67" s="37">
        <v>4</v>
      </c>
      <c r="I67" s="37">
        <v>7</v>
      </c>
      <c r="J67" s="37">
        <v>0</v>
      </c>
      <c r="K67" s="37">
        <v>6</v>
      </c>
      <c r="L67" s="37">
        <v>4</v>
      </c>
      <c r="M67" s="37">
        <v>5</v>
      </c>
      <c r="N67" s="37">
        <v>3</v>
      </c>
      <c r="O67" s="37">
        <v>2</v>
      </c>
      <c r="P67" s="33">
        <f t="shared" si="16"/>
        <v>48</v>
      </c>
      <c r="Q67" s="63">
        <f t="shared" si="17"/>
        <v>4</v>
      </c>
    </row>
    <row r="68" spans="1:17" ht="15.5" x14ac:dyDescent="0.3">
      <c r="A68" s="71"/>
      <c r="B68" s="91"/>
      <c r="C68" s="32" t="s">
        <v>16</v>
      </c>
      <c r="D68" s="38">
        <v>5</v>
      </c>
      <c r="E68" s="38">
        <v>6</v>
      </c>
      <c r="F68" s="38">
        <v>5</v>
      </c>
      <c r="G68" s="38">
        <v>7</v>
      </c>
      <c r="H68" s="38">
        <v>6</v>
      </c>
      <c r="I68" s="38">
        <v>8</v>
      </c>
      <c r="J68" s="38">
        <v>7</v>
      </c>
      <c r="K68" s="38">
        <v>8</v>
      </c>
      <c r="L68" s="38">
        <v>8</v>
      </c>
      <c r="M68" s="38">
        <v>7</v>
      </c>
      <c r="N68" s="38">
        <v>7</v>
      </c>
      <c r="O68" s="38">
        <v>8</v>
      </c>
      <c r="P68" s="33">
        <f t="shared" si="16"/>
        <v>82</v>
      </c>
      <c r="Q68" s="63">
        <f t="shared" si="17"/>
        <v>6.833333333333333</v>
      </c>
    </row>
    <row r="69" spans="1:17" ht="15.5" x14ac:dyDescent="0.3">
      <c r="A69" s="71"/>
      <c r="B69" s="91"/>
      <c r="C69" s="32" t="s">
        <v>17</v>
      </c>
      <c r="D69" s="38">
        <v>5</v>
      </c>
      <c r="E69" s="38">
        <v>7</v>
      </c>
      <c r="F69" s="38">
        <v>7</v>
      </c>
      <c r="G69" s="38">
        <v>8</v>
      </c>
      <c r="H69" s="38">
        <v>3</v>
      </c>
      <c r="I69" s="38">
        <v>5</v>
      </c>
      <c r="J69" s="38">
        <v>4</v>
      </c>
      <c r="K69" s="38">
        <v>7</v>
      </c>
      <c r="L69" s="38">
        <v>6</v>
      </c>
      <c r="M69" s="38">
        <v>8</v>
      </c>
      <c r="N69" s="38">
        <v>7</v>
      </c>
      <c r="O69" s="38">
        <v>8</v>
      </c>
      <c r="P69" s="33">
        <f t="shared" si="16"/>
        <v>75</v>
      </c>
      <c r="Q69" s="63">
        <f t="shared" si="17"/>
        <v>6.25</v>
      </c>
    </row>
    <row r="70" spans="1:17" ht="15.5" x14ac:dyDescent="0.3">
      <c r="A70" s="71"/>
      <c r="B70" s="91"/>
      <c r="C70" s="32" t="s">
        <v>18</v>
      </c>
      <c r="D70" s="38">
        <v>8</v>
      </c>
      <c r="E70" s="38">
        <v>6</v>
      </c>
      <c r="F70" s="38">
        <v>5</v>
      </c>
      <c r="G70" s="38">
        <v>7</v>
      </c>
      <c r="H70" s="38">
        <v>5</v>
      </c>
      <c r="I70" s="38">
        <v>6</v>
      </c>
      <c r="J70" s="38">
        <v>8</v>
      </c>
      <c r="K70" s="38">
        <v>5</v>
      </c>
      <c r="L70" s="38">
        <v>8</v>
      </c>
      <c r="M70" s="38">
        <v>6</v>
      </c>
      <c r="N70" s="38">
        <v>9</v>
      </c>
      <c r="O70" s="38">
        <v>7</v>
      </c>
      <c r="P70" s="33">
        <f t="shared" si="16"/>
        <v>80</v>
      </c>
      <c r="Q70" s="63">
        <f t="shared" si="17"/>
        <v>6.666666666666667</v>
      </c>
    </row>
    <row r="71" spans="1:17" ht="15.5" x14ac:dyDescent="0.3">
      <c r="A71" s="71"/>
      <c r="B71" s="91"/>
      <c r="C71" s="32" t="s">
        <v>19</v>
      </c>
      <c r="D71" s="37">
        <v>3</v>
      </c>
      <c r="E71" s="37">
        <v>3</v>
      </c>
      <c r="F71" s="37">
        <v>4</v>
      </c>
      <c r="G71" s="37">
        <v>2</v>
      </c>
      <c r="H71" s="37">
        <v>0</v>
      </c>
      <c r="I71" s="37">
        <v>3</v>
      </c>
      <c r="J71" s="37">
        <v>4</v>
      </c>
      <c r="K71" s="37">
        <v>2</v>
      </c>
      <c r="L71" s="37">
        <v>2</v>
      </c>
      <c r="M71" s="37">
        <v>3</v>
      </c>
      <c r="N71" s="37">
        <v>2</v>
      </c>
      <c r="O71" s="37">
        <v>0</v>
      </c>
      <c r="P71" s="33">
        <f t="shared" si="16"/>
        <v>28</v>
      </c>
      <c r="Q71" s="63">
        <f t="shared" si="17"/>
        <v>2.3333333333333335</v>
      </c>
    </row>
    <row r="72" spans="1:17" ht="15.5" x14ac:dyDescent="0.3">
      <c r="A72" s="71"/>
      <c r="B72" s="91"/>
      <c r="C72" s="32" t="s">
        <v>20</v>
      </c>
      <c r="D72" s="37">
        <v>0</v>
      </c>
      <c r="E72" s="37">
        <v>0</v>
      </c>
      <c r="F72" s="37">
        <v>4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4</v>
      </c>
      <c r="M72" s="37">
        <v>4</v>
      </c>
      <c r="N72" s="37">
        <v>3</v>
      </c>
      <c r="O72" s="37">
        <v>2</v>
      </c>
      <c r="P72" s="33">
        <f t="shared" si="16"/>
        <v>17</v>
      </c>
      <c r="Q72" s="63">
        <f t="shared" si="17"/>
        <v>1.4166666666666667</v>
      </c>
    </row>
    <row r="73" spans="1:17" ht="15.5" x14ac:dyDescent="0.3">
      <c r="A73" s="71"/>
      <c r="B73" s="91"/>
      <c r="C73" s="32" t="s">
        <v>21</v>
      </c>
      <c r="D73" s="37">
        <v>4</v>
      </c>
      <c r="E73" s="37">
        <v>2</v>
      </c>
      <c r="F73" s="37">
        <v>0</v>
      </c>
      <c r="G73" s="37">
        <v>0</v>
      </c>
      <c r="H73" s="37">
        <v>3</v>
      </c>
      <c r="I73" s="37">
        <v>3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3">
        <f t="shared" si="16"/>
        <v>12</v>
      </c>
      <c r="Q73" s="63">
        <f t="shared" si="17"/>
        <v>1</v>
      </c>
    </row>
    <row r="74" spans="1:17" x14ac:dyDescent="0.3">
      <c r="A74" s="71"/>
      <c r="B74" s="91"/>
      <c r="C74" s="31" t="s">
        <v>48</v>
      </c>
      <c r="D74" s="34">
        <f>SUM(D65:D73)</f>
        <v>33</v>
      </c>
      <c r="E74" s="34">
        <f t="shared" ref="E74:N74" si="18">SUM(E65:E73)</f>
        <v>30</v>
      </c>
      <c r="F74" s="34">
        <f t="shared" si="18"/>
        <v>32</v>
      </c>
      <c r="G74" s="34">
        <f t="shared" si="18"/>
        <v>38</v>
      </c>
      <c r="H74" s="34">
        <f t="shared" si="18"/>
        <v>31</v>
      </c>
      <c r="I74" s="34">
        <f t="shared" si="18"/>
        <v>38</v>
      </c>
      <c r="J74" s="34">
        <f t="shared" si="18"/>
        <v>31</v>
      </c>
      <c r="K74" s="34">
        <f t="shared" si="18"/>
        <v>32</v>
      </c>
      <c r="L74" s="34">
        <f t="shared" si="18"/>
        <v>32</v>
      </c>
      <c r="M74" s="34">
        <f t="shared" si="18"/>
        <v>40</v>
      </c>
      <c r="N74" s="34">
        <f t="shared" si="18"/>
        <v>38</v>
      </c>
      <c r="O74" s="34">
        <f>SUM(O65:O73)</f>
        <v>32</v>
      </c>
      <c r="P74" s="33">
        <f t="shared" si="16"/>
        <v>407</v>
      </c>
      <c r="Q74" s="63"/>
    </row>
    <row r="75" spans="1:17" x14ac:dyDescent="0.3">
      <c r="A75" s="72"/>
      <c r="B75" s="92"/>
      <c r="C75" s="31" t="s">
        <v>47</v>
      </c>
      <c r="D75" s="63">
        <f>AVERAGE(D65:D73)</f>
        <v>3.6666666666666665</v>
      </c>
      <c r="E75" s="63">
        <f t="shared" ref="E75:O75" si="19">AVERAGE(E65:E73)</f>
        <v>3.3333333333333335</v>
      </c>
      <c r="F75" s="63">
        <f t="shared" si="19"/>
        <v>3.5555555555555554</v>
      </c>
      <c r="G75" s="63">
        <f t="shared" si="19"/>
        <v>4.2222222222222223</v>
      </c>
      <c r="H75" s="63">
        <f t="shared" si="19"/>
        <v>3.4444444444444446</v>
      </c>
      <c r="I75" s="63">
        <f t="shared" si="19"/>
        <v>4.2222222222222223</v>
      </c>
      <c r="J75" s="63">
        <f t="shared" si="19"/>
        <v>3.4444444444444446</v>
      </c>
      <c r="K75" s="63">
        <f t="shared" si="19"/>
        <v>3.5555555555555554</v>
      </c>
      <c r="L75" s="63">
        <f t="shared" si="19"/>
        <v>3.5555555555555554</v>
      </c>
      <c r="M75" s="63">
        <f t="shared" si="19"/>
        <v>4.4444444444444446</v>
      </c>
      <c r="N75" s="63">
        <f t="shared" si="19"/>
        <v>4.2222222222222223</v>
      </c>
      <c r="O75" s="63">
        <f t="shared" si="19"/>
        <v>3.5555555555555554</v>
      </c>
      <c r="P75" s="2"/>
      <c r="Q75" s="63"/>
    </row>
    <row r="76" spans="1:17" x14ac:dyDescent="0.3">
      <c r="Q76" s="55"/>
    </row>
    <row r="77" spans="1:17" x14ac:dyDescent="0.3">
      <c r="A77" s="3" t="s">
        <v>29</v>
      </c>
      <c r="B77" s="3" t="s">
        <v>35</v>
      </c>
      <c r="C77" s="73" t="s">
        <v>2</v>
      </c>
      <c r="D77" s="75" t="s">
        <v>3</v>
      </c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0" t="s">
        <v>48</v>
      </c>
      <c r="Q77" s="87" t="s">
        <v>47</v>
      </c>
    </row>
    <row r="78" spans="1:17" x14ac:dyDescent="0.3">
      <c r="A78" s="70">
        <v>6</v>
      </c>
      <c r="B78" s="90" t="s">
        <v>56</v>
      </c>
      <c r="C78" s="73"/>
      <c r="D78" s="75" t="s">
        <v>4</v>
      </c>
      <c r="E78" s="75"/>
      <c r="F78" s="75"/>
      <c r="G78" s="75"/>
      <c r="H78" s="75" t="s">
        <v>11</v>
      </c>
      <c r="I78" s="75"/>
      <c r="J78" s="75"/>
      <c r="K78" s="75"/>
      <c r="L78" s="75" t="s">
        <v>12</v>
      </c>
      <c r="M78" s="75"/>
      <c r="N78" s="75"/>
      <c r="O78" s="75"/>
      <c r="P78" s="71"/>
      <c r="Q78" s="88"/>
    </row>
    <row r="79" spans="1:17" x14ac:dyDescent="0.3">
      <c r="A79" s="71"/>
      <c r="B79" s="91"/>
      <c r="C79" s="73"/>
      <c r="D79" s="29" t="s">
        <v>5</v>
      </c>
      <c r="E79" s="29" t="s">
        <v>7</v>
      </c>
      <c r="F79" s="29" t="s">
        <v>8</v>
      </c>
      <c r="G79" s="29" t="s">
        <v>10</v>
      </c>
      <c r="H79" s="29" t="s">
        <v>5</v>
      </c>
      <c r="I79" s="29" t="s">
        <v>7</v>
      </c>
      <c r="J79" s="29" t="s">
        <v>8</v>
      </c>
      <c r="K79" s="29" t="s">
        <v>10</v>
      </c>
      <c r="L79" s="29" t="s">
        <v>5</v>
      </c>
      <c r="M79" s="29" t="s">
        <v>7</v>
      </c>
      <c r="N79" s="29" t="s">
        <v>8</v>
      </c>
      <c r="O79" s="29" t="s">
        <v>10</v>
      </c>
      <c r="P79" s="72"/>
      <c r="Q79" s="89"/>
    </row>
    <row r="80" spans="1:17" ht="15.5" x14ac:dyDescent="0.3">
      <c r="A80" s="71"/>
      <c r="B80" s="91"/>
      <c r="C80" s="32" t="s">
        <v>13</v>
      </c>
      <c r="D80" s="37">
        <v>3</v>
      </c>
      <c r="E80" s="37">
        <v>2</v>
      </c>
      <c r="F80" s="37">
        <v>2</v>
      </c>
      <c r="G80" s="37">
        <v>2</v>
      </c>
      <c r="H80" s="37">
        <v>3</v>
      </c>
      <c r="I80" s="37">
        <v>3</v>
      </c>
      <c r="J80" s="37">
        <v>1</v>
      </c>
      <c r="K80" s="37">
        <v>2</v>
      </c>
      <c r="L80" s="37">
        <v>2</v>
      </c>
      <c r="M80" s="37">
        <v>3</v>
      </c>
      <c r="N80" s="37">
        <v>1</v>
      </c>
      <c r="O80" s="37">
        <v>2</v>
      </c>
      <c r="P80" s="33">
        <f>SUM(D80:O80)</f>
        <v>26</v>
      </c>
      <c r="Q80" s="63">
        <f>AVERAGE(D80:O80)</f>
        <v>2.1666666666666665</v>
      </c>
    </row>
    <row r="81" spans="1:17" ht="15.5" x14ac:dyDescent="0.3">
      <c r="A81" s="71"/>
      <c r="B81" s="91"/>
      <c r="C81" s="32" t="s">
        <v>14</v>
      </c>
      <c r="D81" s="37">
        <v>3</v>
      </c>
      <c r="E81" s="37">
        <v>4</v>
      </c>
      <c r="F81" s="37">
        <v>2</v>
      </c>
      <c r="G81" s="37">
        <v>5</v>
      </c>
      <c r="H81" s="37">
        <v>4</v>
      </c>
      <c r="I81" s="37">
        <v>3</v>
      </c>
      <c r="J81" s="37">
        <v>5</v>
      </c>
      <c r="K81" s="37">
        <v>6</v>
      </c>
      <c r="L81" s="37">
        <v>3</v>
      </c>
      <c r="M81" s="37">
        <v>7</v>
      </c>
      <c r="N81" s="37">
        <v>4</v>
      </c>
      <c r="O81" s="37">
        <v>5</v>
      </c>
      <c r="P81" s="33">
        <f t="shared" ref="P81:P89" si="20">SUM(D81:O81)</f>
        <v>51</v>
      </c>
      <c r="Q81" s="63">
        <f t="shared" ref="Q81:Q88" si="21">AVERAGE(D81:O81)</f>
        <v>4.25</v>
      </c>
    </row>
    <row r="82" spans="1:17" ht="15.5" x14ac:dyDescent="0.3">
      <c r="A82" s="71"/>
      <c r="B82" s="91"/>
      <c r="C82" s="32" t="s">
        <v>15</v>
      </c>
      <c r="D82" s="37">
        <v>4</v>
      </c>
      <c r="E82" s="37">
        <v>3</v>
      </c>
      <c r="F82" s="37">
        <v>5</v>
      </c>
      <c r="G82" s="37">
        <v>4</v>
      </c>
      <c r="H82" s="37">
        <v>6</v>
      </c>
      <c r="I82" s="37">
        <v>5</v>
      </c>
      <c r="J82" s="37">
        <v>4</v>
      </c>
      <c r="K82" s="37">
        <v>3</v>
      </c>
      <c r="L82" s="37">
        <v>6</v>
      </c>
      <c r="M82" s="37">
        <v>6</v>
      </c>
      <c r="N82" s="37">
        <v>5</v>
      </c>
      <c r="O82" s="37">
        <v>4</v>
      </c>
      <c r="P82" s="33">
        <f t="shared" si="20"/>
        <v>55</v>
      </c>
      <c r="Q82" s="63">
        <f t="shared" si="21"/>
        <v>4.583333333333333</v>
      </c>
    </row>
    <row r="83" spans="1:17" ht="15.5" x14ac:dyDescent="0.3">
      <c r="A83" s="71"/>
      <c r="B83" s="91"/>
      <c r="C83" s="32" t="s">
        <v>16</v>
      </c>
      <c r="D83" s="38">
        <v>5</v>
      </c>
      <c r="E83" s="38">
        <v>6</v>
      </c>
      <c r="F83" s="38">
        <v>6</v>
      </c>
      <c r="G83" s="38">
        <v>7</v>
      </c>
      <c r="H83" s="38">
        <v>5</v>
      </c>
      <c r="I83" s="38">
        <v>7</v>
      </c>
      <c r="J83" s="38">
        <v>6</v>
      </c>
      <c r="K83" s="38">
        <v>7</v>
      </c>
      <c r="L83" s="38">
        <v>8</v>
      </c>
      <c r="M83" s="38">
        <v>7</v>
      </c>
      <c r="N83" s="38">
        <v>8</v>
      </c>
      <c r="O83" s="38">
        <v>8</v>
      </c>
      <c r="P83" s="33">
        <f t="shared" si="20"/>
        <v>80</v>
      </c>
      <c r="Q83" s="63">
        <f t="shared" si="21"/>
        <v>6.666666666666667</v>
      </c>
    </row>
    <row r="84" spans="1:17" ht="15.5" x14ac:dyDescent="0.3">
      <c r="A84" s="71"/>
      <c r="B84" s="91"/>
      <c r="C84" s="32" t="s">
        <v>17</v>
      </c>
      <c r="D84" s="38">
        <v>4</v>
      </c>
      <c r="E84" s="38">
        <v>5</v>
      </c>
      <c r="F84" s="38">
        <v>6</v>
      </c>
      <c r="G84" s="38">
        <v>7</v>
      </c>
      <c r="H84" s="38">
        <v>5</v>
      </c>
      <c r="I84" s="38">
        <v>6</v>
      </c>
      <c r="J84" s="38">
        <v>5</v>
      </c>
      <c r="K84" s="38">
        <v>8</v>
      </c>
      <c r="L84" s="38">
        <v>7</v>
      </c>
      <c r="M84" s="38">
        <v>8</v>
      </c>
      <c r="N84" s="38">
        <v>8</v>
      </c>
      <c r="O84" s="38">
        <v>9</v>
      </c>
      <c r="P84" s="33">
        <f t="shared" si="20"/>
        <v>78</v>
      </c>
      <c r="Q84" s="63">
        <f t="shared" si="21"/>
        <v>6.5</v>
      </c>
    </row>
    <row r="85" spans="1:17" ht="15.5" x14ac:dyDescent="0.3">
      <c r="A85" s="71"/>
      <c r="B85" s="91"/>
      <c r="C85" s="32" t="s">
        <v>18</v>
      </c>
      <c r="D85" s="38">
        <v>8</v>
      </c>
      <c r="E85" s="38">
        <v>6</v>
      </c>
      <c r="F85" s="38">
        <v>4</v>
      </c>
      <c r="G85" s="38">
        <v>6</v>
      </c>
      <c r="H85" s="38">
        <v>6</v>
      </c>
      <c r="I85" s="38">
        <v>8</v>
      </c>
      <c r="J85" s="38">
        <v>7</v>
      </c>
      <c r="K85" s="38">
        <v>6</v>
      </c>
      <c r="L85" s="38">
        <v>7</v>
      </c>
      <c r="M85" s="38">
        <v>5</v>
      </c>
      <c r="N85" s="38">
        <v>7</v>
      </c>
      <c r="O85" s="38">
        <v>6</v>
      </c>
      <c r="P85" s="33">
        <f t="shared" si="20"/>
        <v>76</v>
      </c>
      <c r="Q85" s="63">
        <f t="shared" si="21"/>
        <v>6.333333333333333</v>
      </c>
    </row>
    <row r="86" spans="1:17" ht="15.5" x14ac:dyDescent="0.3">
      <c r="A86" s="71"/>
      <c r="B86" s="91"/>
      <c r="C86" s="32" t="s">
        <v>19</v>
      </c>
      <c r="D86" s="37">
        <v>2</v>
      </c>
      <c r="E86" s="37">
        <v>2</v>
      </c>
      <c r="F86" s="37">
        <v>3</v>
      </c>
      <c r="G86" s="37">
        <v>2</v>
      </c>
      <c r="H86" s="37">
        <v>1</v>
      </c>
      <c r="I86" s="37">
        <v>3</v>
      </c>
      <c r="J86" s="37">
        <v>2</v>
      </c>
      <c r="K86" s="37">
        <v>1</v>
      </c>
      <c r="L86" s="37">
        <v>3</v>
      </c>
      <c r="M86" s="37">
        <v>2</v>
      </c>
      <c r="N86" s="37">
        <v>1</v>
      </c>
      <c r="O86" s="37">
        <v>2</v>
      </c>
      <c r="P86" s="33">
        <f t="shared" si="20"/>
        <v>24</v>
      </c>
      <c r="Q86" s="63">
        <f t="shared" si="21"/>
        <v>2</v>
      </c>
    </row>
    <row r="87" spans="1:17" ht="15.5" x14ac:dyDescent="0.3">
      <c r="A87" s="71"/>
      <c r="B87" s="91"/>
      <c r="C87" s="32" t="s">
        <v>20</v>
      </c>
      <c r="D87" s="37">
        <v>2</v>
      </c>
      <c r="E87" s="37">
        <v>1</v>
      </c>
      <c r="F87" s="37">
        <v>3</v>
      </c>
      <c r="G87" s="37">
        <v>1</v>
      </c>
      <c r="H87" s="37">
        <v>2</v>
      </c>
      <c r="I87" s="37">
        <v>1</v>
      </c>
      <c r="J87" s="37">
        <v>3</v>
      </c>
      <c r="K87" s="37">
        <v>2</v>
      </c>
      <c r="L87" s="37">
        <v>2</v>
      </c>
      <c r="M87" s="37">
        <v>1</v>
      </c>
      <c r="N87" s="37">
        <v>2</v>
      </c>
      <c r="O87" s="37">
        <v>1</v>
      </c>
      <c r="P87" s="33">
        <f t="shared" si="20"/>
        <v>21</v>
      </c>
      <c r="Q87" s="63">
        <f t="shared" si="21"/>
        <v>1.75</v>
      </c>
    </row>
    <row r="88" spans="1:17" ht="15.5" x14ac:dyDescent="0.3">
      <c r="A88" s="71"/>
      <c r="B88" s="91"/>
      <c r="C88" s="32" t="s">
        <v>21</v>
      </c>
      <c r="D88" s="37">
        <v>2</v>
      </c>
      <c r="E88" s="37">
        <v>3</v>
      </c>
      <c r="F88" s="37">
        <v>1</v>
      </c>
      <c r="G88" s="37">
        <v>1</v>
      </c>
      <c r="H88" s="37">
        <v>1</v>
      </c>
      <c r="I88" s="37">
        <v>2</v>
      </c>
      <c r="J88" s="37">
        <v>2</v>
      </c>
      <c r="K88" s="37">
        <v>2</v>
      </c>
      <c r="L88" s="37">
        <v>0</v>
      </c>
      <c r="M88" s="37">
        <v>1</v>
      </c>
      <c r="N88" s="37">
        <v>1</v>
      </c>
      <c r="O88" s="37">
        <v>0</v>
      </c>
      <c r="P88" s="33">
        <f t="shared" si="20"/>
        <v>16</v>
      </c>
      <c r="Q88" s="63">
        <f t="shared" si="21"/>
        <v>1.3333333333333333</v>
      </c>
    </row>
    <row r="89" spans="1:17" x14ac:dyDescent="0.3">
      <c r="A89" s="71"/>
      <c r="B89" s="91"/>
      <c r="C89" s="31" t="s">
        <v>48</v>
      </c>
      <c r="D89" s="34">
        <f>SUM(D80:D88)</f>
        <v>33</v>
      </c>
      <c r="E89" s="34">
        <f t="shared" ref="E89:O89" si="22">SUM(E80:E88)</f>
        <v>32</v>
      </c>
      <c r="F89" s="34">
        <f t="shared" si="22"/>
        <v>32</v>
      </c>
      <c r="G89" s="34">
        <f t="shared" si="22"/>
        <v>35</v>
      </c>
      <c r="H89" s="34">
        <f t="shared" si="22"/>
        <v>33</v>
      </c>
      <c r="I89" s="34">
        <f t="shared" si="22"/>
        <v>38</v>
      </c>
      <c r="J89" s="34">
        <f t="shared" si="22"/>
        <v>35</v>
      </c>
      <c r="K89" s="34">
        <f t="shared" si="22"/>
        <v>37</v>
      </c>
      <c r="L89" s="34">
        <f t="shared" si="22"/>
        <v>38</v>
      </c>
      <c r="M89" s="34">
        <f t="shared" si="22"/>
        <v>40</v>
      </c>
      <c r="N89" s="34">
        <f t="shared" si="22"/>
        <v>37</v>
      </c>
      <c r="O89" s="34">
        <f t="shared" si="22"/>
        <v>37</v>
      </c>
      <c r="P89" s="33">
        <f t="shared" si="20"/>
        <v>427</v>
      </c>
      <c r="Q89" s="63"/>
    </row>
    <row r="90" spans="1:17" x14ac:dyDescent="0.3">
      <c r="A90" s="72"/>
      <c r="B90" s="92"/>
      <c r="C90" s="31" t="s">
        <v>47</v>
      </c>
      <c r="D90" s="63">
        <f>AVERAGE(D80:D88)</f>
        <v>3.6666666666666665</v>
      </c>
      <c r="E90" s="63">
        <f t="shared" ref="E90:O90" si="23">AVERAGE(E80:E88)</f>
        <v>3.5555555555555554</v>
      </c>
      <c r="F90" s="63">
        <f t="shared" si="23"/>
        <v>3.5555555555555554</v>
      </c>
      <c r="G90" s="63">
        <f t="shared" si="23"/>
        <v>3.8888888888888888</v>
      </c>
      <c r="H90" s="63">
        <f t="shared" si="23"/>
        <v>3.6666666666666665</v>
      </c>
      <c r="I90" s="63">
        <f t="shared" si="23"/>
        <v>4.2222222222222223</v>
      </c>
      <c r="J90" s="63">
        <f t="shared" si="23"/>
        <v>3.8888888888888888</v>
      </c>
      <c r="K90" s="63">
        <f t="shared" si="23"/>
        <v>4.1111111111111107</v>
      </c>
      <c r="L90" s="63">
        <f t="shared" si="23"/>
        <v>4.2222222222222223</v>
      </c>
      <c r="M90" s="63">
        <f t="shared" si="23"/>
        <v>4.4444444444444446</v>
      </c>
      <c r="N90" s="63">
        <f t="shared" si="23"/>
        <v>4.1111111111111107</v>
      </c>
      <c r="O90" s="63">
        <f t="shared" si="23"/>
        <v>4.1111111111111107</v>
      </c>
      <c r="P90" s="2"/>
      <c r="Q90" s="63"/>
    </row>
    <row r="91" spans="1:17" x14ac:dyDescent="0.3">
      <c r="Q91" s="55"/>
    </row>
    <row r="92" spans="1:17" x14ac:dyDescent="0.3">
      <c r="A92" s="3" t="s">
        <v>29</v>
      </c>
      <c r="B92" s="3" t="s">
        <v>35</v>
      </c>
      <c r="C92" s="73" t="s">
        <v>2</v>
      </c>
      <c r="D92" s="75" t="s">
        <v>3</v>
      </c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0" t="s">
        <v>48</v>
      </c>
      <c r="Q92" s="87" t="s">
        <v>47</v>
      </c>
    </row>
    <row r="93" spans="1:17" x14ac:dyDescent="0.3">
      <c r="A93" s="70">
        <v>7</v>
      </c>
      <c r="B93" s="90" t="s">
        <v>57</v>
      </c>
      <c r="C93" s="73"/>
      <c r="D93" s="75" t="s">
        <v>4</v>
      </c>
      <c r="E93" s="75"/>
      <c r="F93" s="75"/>
      <c r="G93" s="75"/>
      <c r="H93" s="75" t="s">
        <v>11</v>
      </c>
      <c r="I93" s="75"/>
      <c r="J93" s="75"/>
      <c r="K93" s="75"/>
      <c r="L93" s="75" t="s">
        <v>12</v>
      </c>
      <c r="M93" s="75"/>
      <c r="N93" s="75"/>
      <c r="O93" s="75"/>
      <c r="P93" s="71"/>
      <c r="Q93" s="88"/>
    </row>
    <row r="94" spans="1:17" x14ac:dyDescent="0.3">
      <c r="A94" s="71"/>
      <c r="B94" s="91"/>
      <c r="C94" s="73"/>
      <c r="D94" s="29" t="s">
        <v>5</v>
      </c>
      <c r="E94" s="29" t="s">
        <v>7</v>
      </c>
      <c r="F94" s="29" t="s">
        <v>8</v>
      </c>
      <c r="G94" s="29" t="s">
        <v>10</v>
      </c>
      <c r="H94" s="29" t="s">
        <v>5</v>
      </c>
      <c r="I94" s="29" t="s">
        <v>7</v>
      </c>
      <c r="J94" s="29" t="s">
        <v>8</v>
      </c>
      <c r="K94" s="29" t="s">
        <v>10</v>
      </c>
      <c r="L94" s="29" t="s">
        <v>5</v>
      </c>
      <c r="M94" s="29" t="s">
        <v>7</v>
      </c>
      <c r="N94" s="29" t="s">
        <v>8</v>
      </c>
      <c r="O94" s="29" t="s">
        <v>10</v>
      </c>
      <c r="P94" s="72"/>
      <c r="Q94" s="89"/>
    </row>
    <row r="95" spans="1:17" ht="15.5" x14ac:dyDescent="0.3">
      <c r="A95" s="71"/>
      <c r="B95" s="91"/>
      <c r="C95" s="32" t="s">
        <v>13</v>
      </c>
      <c r="D95" s="39">
        <v>2</v>
      </c>
      <c r="E95" s="39">
        <v>2</v>
      </c>
      <c r="F95" s="39">
        <v>2</v>
      </c>
      <c r="G95" s="39">
        <v>2</v>
      </c>
      <c r="H95" s="39">
        <v>2</v>
      </c>
      <c r="I95" s="39">
        <v>1</v>
      </c>
      <c r="J95" s="39">
        <v>3</v>
      </c>
      <c r="K95" s="39">
        <v>1</v>
      </c>
      <c r="L95" s="39">
        <v>2</v>
      </c>
      <c r="M95" s="39">
        <v>1</v>
      </c>
      <c r="N95" s="39">
        <v>0</v>
      </c>
      <c r="O95" s="39">
        <v>1</v>
      </c>
      <c r="P95" s="33">
        <f>SUM(D95:O95)</f>
        <v>19</v>
      </c>
      <c r="Q95" s="63">
        <f>AVERAGE(D95:O95)</f>
        <v>1.5833333333333333</v>
      </c>
    </row>
    <row r="96" spans="1:17" ht="15.5" x14ac:dyDescent="0.3">
      <c r="A96" s="71"/>
      <c r="B96" s="91"/>
      <c r="C96" s="32" t="s">
        <v>14</v>
      </c>
      <c r="D96" s="39">
        <v>3</v>
      </c>
      <c r="E96" s="39">
        <v>3</v>
      </c>
      <c r="F96" s="39">
        <v>4</v>
      </c>
      <c r="G96" s="39">
        <v>2</v>
      </c>
      <c r="H96" s="39">
        <v>4</v>
      </c>
      <c r="I96" s="39">
        <v>5</v>
      </c>
      <c r="J96" s="39">
        <v>2</v>
      </c>
      <c r="K96" s="39">
        <v>3</v>
      </c>
      <c r="L96" s="39">
        <v>5</v>
      </c>
      <c r="M96" s="39">
        <v>4</v>
      </c>
      <c r="N96" s="39">
        <v>3</v>
      </c>
      <c r="O96" s="39">
        <v>4</v>
      </c>
      <c r="P96" s="33">
        <f t="shared" ref="P96:P104" si="24">SUM(D96:O96)</f>
        <v>42</v>
      </c>
      <c r="Q96" s="63">
        <f t="shared" ref="Q96:Q103" si="25">AVERAGE(D96:O96)</f>
        <v>3.5</v>
      </c>
    </row>
    <row r="97" spans="1:17" ht="15.5" x14ac:dyDescent="0.3">
      <c r="A97" s="71"/>
      <c r="B97" s="91"/>
      <c r="C97" s="32" t="s">
        <v>15</v>
      </c>
      <c r="D97" s="39">
        <v>3</v>
      </c>
      <c r="E97" s="39">
        <v>4</v>
      </c>
      <c r="F97" s="39">
        <v>6</v>
      </c>
      <c r="G97" s="39">
        <v>5</v>
      </c>
      <c r="H97" s="39">
        <v>3</v>
      </c>
      <c r="I97" s="39">
        <v>4</v>
      </c>
      <c r="J97" s="39">
        <v>3</v>
      </c>
      <c r="K97" s="39">
        <v>4</v>
      </c>
      <c r="L97" s="39">
        <v>3</v>
      </c>
      <c r="M97" s="39">
        <v>5</v>
      </c>
      <c r="N97" s="39">
        <v>4</v>
      </c>
      <c r="O97" s="39">
        <v>2</v>
      </c>
      <c r="P97" s="33">
        <f t="shared" si="24"/>
        <v>46</v>
      </c>
      <c r="Q97" s="63">
        <f t="shared" si="25"/>
        <v>3.8333333333333335</v>
      </c>
    </row>
    <row r="98" spans="1:17" x14ac:dyDescent="0.3">
      <c r="A98" s="71"/>
      <c r="B98" s="91"/>
      <c r="C98" s="32" t="s">
        <v>16</v>
      </c>
      <c r="D98" s="40">
        <v>8</v>
      </c>
      <c r="E98" s="40">
        <v>7</v>
      </c>
      <c r="F98" s="40">
        <v>8</v>
      </c>
      <c r="G98" s="40">
        <v>8</v>
      </c>
      <c r="H98" s="40">
        <v>6</v>
      </c>
      <c r="I98" s="40">
        <v>5</v>
      </c>
      <c r="J98" s="40">
        <v>5</v>
      </c>
      <c r="K98" s="40">
        <v>7</v>
      </c>
      <c r="L98" s="40">
        <v>7</v>
      </c>
      <c r="M98" s="40">
        <v>6</v>
      </c>
      <c r="N98" s="40">
        <v>9</v>
      </c>
      <c r="O98" s="40">
        <v>7</v>
      </c>
      <c r="P98" s="33">
        <f t="shared" si="24"/>
        <v>83</v>
      </c>
      <c r="Q98" s="63">
        <f t="shared" si="25"/>
        <v>6.916666666666667</v>
      </c>
    </row>
    <row r="99" spans="1:17" ht="15.5" x14ac:dyDescent="0.3">
      <c r="A99" s="71"/>
      <c r="B99" s="91"/>
      <c r="C99" s="32" t="s">
        <v>17</v>
      </c>
      <c r="D99" s="40">
        <v>7</v>
      </c>
      <c r="E99" s="40">
        <v>8</v>
      </c>
      <c r="F99" s="40">
        <v>8</v>
      </c>
      <c r="G99" s="40">
        <v>9</v>
      </c>
      <c r="H99" s="40">
        <v>6</v>
      </c>
      <c r="I99" s="40">
        <v>8</v>
      </c>
      <c r="J99" s="40">
        <v>6</v>
      </c>
      <c r="K99" s="40">
        <v>7</v>
      </c>
      <c r="L99" s="40">
        <v>7</v>
      </c>
      <c r="M99" s="40">
        <v>6</v>
      </c>
      <c r="N99" s="40">
        <v>7</v>
      </c>
      <c r="O99" s="40">
        <v>6</v>
      </c>
      <c r="P99" s="33">
        <f t="shared" si="24"/>
        <v>85</v>
      </c>
      <c r="Q99" s="63">
        <f t="shared" si="25"/>
        <v>7.083333333333333</v>
      </c>
    </row>
    <row r="100" spans="1:17" ht="15.5" x14ac:dyDescent="0.3">
      <c r="A100" s="71"/>
      <c r="B100" s="91"/>
      <c r="C100" s="32" t="s">
        <v>18</v>
      </c>
      <c r="D100" s="40">
        <v>7</v>
      </c>
      <c r="E100" s="40">
        <v>5</v>
      </c>
      <c r="F100" s="40">
        <v>7</v>
      </c>
      <c r="G100" s="40">
        <v>6</v>
      </c>
      <c r="H100" s="40">
        <v>6</v>
      </c>
      <c r="I100" s="40">
        <v>7</v>
      </c>
      <c r="J100" s="40">
        <v>6</v>
      </c>
      <c r="K100" s="40">
        <v>6</v>
      </c>
      <c r="L100" s="40">
        <v>8</v>
      </c>
      <c r="M100" s="40">
        <v>6</v>
      </c>
      <c r="N100" s="40">
        <v>6</v>
      </c>
      <c r="O100" s="40">
        <v>7</v>
      </c>
      <c r="P100" s="33">
        <f t="shared" si="24"/>
        <v>77</v>
      </c>
      <c r="Q100" s="63">
        <f t="shared" si="25"/>
        <v>6.416666666666667</v>
      </c>
    </row>
    <row r="101" spans="1:17" ht="15.5" x14ac:dyDescent="0.3">
      <c r="A101" s="71"/>
      <c r="B101" s="91"/>
      <c r="C101" s="32" t="s">
        <v>19</v>
      </c>
      <c r="D101" s="39">
        <v>1</v>
      </c>
      <c r="E101" s="39">
        <v>2</v>
      </c>
      <c r="F101" s="39">
        <v>0</v>
      </c>
      <c r="G101" s="39">
        <v>1</v>
      </c>
      <c r="H101" s="39">
        <v>2</v>
      </c>
      <c r="I101" s="39">
        <v>1</v>
      </c>
      <c r="J101" s="39">
        <v>3</v>
      </c>
      <c r="K101" s="39">
        <v>2</v>
      </c>
      <c r="L101" s="39">
        <v>2</v>
      </c>
      <c r="M101" s="39">
        <v>2</v>
      </c>
      <c r="N101" s="39">
        <v>2</v>
      </c>
      <c r="O101" s="39">
        <v>1</v>
      </c>
      <c r="P101" s="33">
        <f t="shared" si="24"/>
        <v>19</v>
      </c>
      <c r="Q101" s="63">
        <f t="shared" si="25"/>
        <v>1.5833333333333333</v>
      </c>
    </row>
    <row r="102" spans="1:17" ht="15.5" x14ac:dyDescent="0.3">
      <c r="A102" s="71"/>
      <c r="B102" s="91"/>
      <c r="C102" s="32" t="s">
        <v>20</v>
      </c>
      <c r="D102" s="39">
        <v>2</v>
      </c>
      <c r="E102" s="39">
        <v>2</v>
      </c>
      <c r="F102" s="39">
        <v>2</v>
      </c>
      <c r="G102" s="39">
        <v>1</v>
      </c>
      <c r="H102" s="39">
        <v>0</v>
      </c>
      <c r="I102" s="39">
        <v>0</v>
      </c>
      <c r="J102" s="39">
        <v>0</v>
      </c>
      <c r="K102" s="39">
        <v>0</v>
      </c>
      <c r="L102" s="39">
        <v>1</v>
      </c>
      <c r="M102" s="39">
        <v>2</v>
      </c>
      <c r="N102" s="39">
        <v>1</v>
      </c>
      <c r="O102" s="39">
        <v>2</v>
      </c>
      <c r="P102" s="33">
        <f t="shared" si="24"/>
        <v>13</v>
      </c>
      <c r="Q102" s="63">
        <f t="shared" si="25"/>
        <v>1.0833333333333333</v>
      </c>
    </row>
    <row r="103" spans="1:17" ht="15.5" x14ac:dyDescent="0.3">
      <c r="A103" s="71"/>
      <c r="B103" s="91"/>
      <c r="C103" s="32" t="s">
        <v>21</v>
      </c>
      <c r="D103" s="39">
        <v>3</v>
      </c>
      <c r="E103" s="39">
        <v>2</v>
      </c>
      <c r="F103" s="39">
        <v>1</v>
      </c>
      <c r="G103" s="39">
        <v>2</v>
      </c>
      <c r="H103" s="39">
        <v>3</v>
      </c>
      <c r="I103" s="39">
        <v>3</v>
      </c>
      <c r="J103" s="39">
        <v>0</v>
      </c>
      <c r="K103" s="39">
        <v>0</v>
      </c>
      <c r="L103" s="39">
        <v>2</v>
      </c>
      <c r="M103" s="39">
        <v>3</v>
      </c>
      <c r="N103" s="39">
        <v>0</v>
      </c>
      <c r="O103" s="39">
        <v>1</v>
      </c>
      <c r="P103" s="33">
        <f t="shared" si="24"/>
        <v>20</v>
      </c>
      <c r="Q103" s="63">
        <f t="shared" si="25"/>
        <v>1.6666666666666667</v>
      </c>
    </row>
    <row r="104" spans="1:17" x14ac:dyDescent="0.3">
      <c r="A104" s="71"/>
      <c r="B104" s="91"/>
      <c r="C104" s="31" t="s">
        <v>48</v>
      </c>
      <c r="D104" s="34">
        <f>SUM(D95:D103)</f>
        <v>36</v>
      </c>
      <c r="E104" s="34">
        <f t="shared" ref="E104:O104" si="26">SUM(E95:E103)</f>
        <v>35</v>
      </c>
      <c r="F104" s="34">
        <f t="shared" si="26"/>
        <v>38</v>
      </c>
      <c r="G104" s="34">
        <f t="shared" si="26"/>
        <v>36</v>
      </c>
      <c r="H104" s="34">
        <f t="shared" si="26"/>
        <v>32</v>
      </c>
      <c r="I104" s="34">
        <f t="shared" si="26"/>
        <v>34</v>
      </c>
      <c r="J104" s="34">
        <f t="shared" si="26"/>
        <v>28</v>
      </c>
      <c r="K104" s="34">
        <f t="shared" si="26"/>
        <v>30</v>
      </c>
      <c r="L104" s="34">
        <f t="shared" si="26"/>
        <v>37</v>
      </c>
      <c r="M104" s="34">
        <f t="shared" si="26"/>
        <v>35</v>
      </c>
      <c r="N104" s="34">
        <f t="shared" si="26"/>
        <v>32</v>
      </c>
      <c r="O104" s="34">
        <f t="shared" si="26"/>
        <v>31</v>
      </c>
      <c r="P104" s="33">
        <f t="shared" si="24"/>
        <v>404</v>
      </c>
      <c r="Q104" s="41"/>
    </row>
    <row r="105" spans="1:17" x14ac:dyDescent="0.3">
      <c r="A105" s="72"/>
      <c r="B105" s="92"/>
      <c r="C105" s="31" t="s">
        <v>47</v>
      </c>
      <c r="D105" s="63">
        <f>AVERAGE(D95:D103)</f>
        <v>4</v>
      </c>
      <c r="E105" s="63">
        <f t="shared" ref="E105:O105" si="27">AVERAGE(E95:E103)</f>
        <v>3.8888888888888888</v>
      </c>
      <c r="F105" s="63">
        <f t="shared" si="27"/>
        <v>4.2222222222222223</v>
      </c>
      <c r="G105" s="63">
        <f t="shared" si="27"/>
        <v>4</v>
      </c>
      <c r="H105" s="63">
        <f t="shared" si="27"/>
        <v>3.5555555555555554</v>
      </c>
      <c r="I105" s="63">
        <f t="shared" si="27"/>
        <v>3.7777777777777777</v>
      </c>
      <c r="J105" s="63">
        <f t="shared" si="27"/>
        <v>3.1111111111111112</v>
      </c>
      <c r="K105" s="63">
        <f t="shared" si="27"/>
        <v>3.3333333333333335</v>
      </c>
      <c r="L105" s="63">
        <f t="shared" si="27"/>
        <v>4.1111111111111107</v>
      </c>
      <c r="M105" s="63">
        <f t="shared" si="27"/>
        <v>3.8888888888888888</v>
      </c>
      <c r="N105" s="63">
        <f t="shared" si="27"/>
        <v>3.5555555555555554</v>
      </c>
      <c r="O105" s="63">
        <f t="shared" si="27"/>
        <v>3.4444444444444446</v>
      </c>
      <c r="P105" s="2"/>
      <c r="Q105" s="41"/>
    </row>
  </sheetData>
  <mergeCells count="63">
    <mergeCell ref="Q92:Q94"/>
    <mergeCell ref="A93:A105"/>
    <mergeCell ref="B93:B105"/>
    <mergeCell ref="D93:G93"/>
    <mergeCell ref="H93:K93"/>
    <mergeCell ref="L93:O93"/>
    <mergeCell ref="Q77:Q79"/>
    <mergeCell ref="A78:A90"/>
    <mergeCell ref="B78:B90"/>
    <mergeCell ref="D78:G78"/>
    <mergeCell ref="H78:K78"/>
    <mergeCell ref="L78:O78"/>
    <mergeCell ref="C92:C94"/>
    <mergeCell ref="D92:O92"/>
    <mergeCell ref="P92:P94"/>
    <mergeCell ref="C77:C79"/>
    <mergeCell ref="D77:O77"/>
    <mergeCell ref="P77:P79"/>
    <mergeCell ref="A63:A75"/>
    <mergeCell ref="B63:B75"/>
    <mergeCell ref="D63:G63"/>
    <mergeCell ref="H63:K63"/>
    <mergeCell ref="B33:B45"/>
    <mergeCell ref="D33:G33"/>
    <mergeCell ref="H33:K33"/>
    <mergeCell ref="L33:O33"/>
    <mergeCell ref="C47:C49"/>
    <mergeCell ref="D47:O47"/>
    <mergeCell ref="B48:B60"/>
    <mergeCell ref="A33:A45"/>
    <mergeCell ref="A48:A60"/>
    <mergeCell ref="B18:B30"/>
    <mergeCell ref="D18:G18"/>
    <mergeCell ref="H18:K18"/>
    <mergeCell ref="L18:O18"/>
    <mergeCell ref="D2:O2"/>
    <mergeCell ref="Q2:Q4"/>
    <mergeCell ref="A3:A15"/>
    <mergeCell ref="B3:B15"/>
    <mergeCell ref="D3:G3"/>
    <mergeCell ref="H3:K3"/>
    <mergeCell ref="L3:O3"/>
    <mergeCell ref="P2:P4"/>
    <mergeCell ref="A18:A30"/>
    <mergeCell ref="C17:C19"/>
    <mergeCell ref="D17:O17"/>
    <mergeCell ref="P17:P19"/>
    <mergeCell ref="C2:C4"/>
    <mergeCell ref="Q17:Q19"/>
    <mergeCell ref="P47:P49"/>
    <mergeCell ref="Q62:Q64"/>
    <mergeCell ref="L63:O63"/>
    <mergeCell ref="D48:G48"/>
    <mergeCell ref="H48:K48"/>
    <mergeCell ref="L48:O48"/>
    <mergeCell ref="C32:C34"/>
    <mergeCell ref="D32:O32"/>
    <mergeCell ref="P32:P34"/>
    <mergeCell ref="Q32:Q34"/>
    <mergeCell ref="Q47:Q49"/>
    <mergeCell ref="C62:C64"/>
    <mergeCell ref="D62:O62"/>
    <mergeCell ref="P62:P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Perhitungan Intensitas Penyakit</vt:lpstr>
      <vt:lpstr>Jumlah Daun</vt:lpstr>
      <vt:lpstr>Tinggi Tanaman</vt:lpstr>
      <vt:lpstr>Jumlah Anakan</vt:lpstr>
      <vt:lpstr>Intensitas Penyakit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hp 14s</cp:lastModifiedBy>
  <dcterms:created xsi:type="dcterms:W3CDTF">2024-03-24T17:21:15Z</dcterms:created>
  <dcterms:modified xsi:type="dcterms:W3CDTF">2025-05-11T13:02:28Z</dcterms:modified>
</cp:coreProperties>
</file>