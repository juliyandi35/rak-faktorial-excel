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RAK Faktorial mas Utsman\"/>
    </mc:Choice>
  </mc:AlternateContent>
  <xr:revisionPtr revIDLastSave="0" documentId="13_ncr:1_{0873B254-FA3D-439B-ACC7-575E9762A88E}" xr6:coauthVersionLast="47" xr6:coauthVersionMax="47" xr10:uidLastSave="{00000000-0000-0000-0000-000000000000}"/>
  <bookViews>
    <workbookView xWindow="-110" yWindow="-110" windowWidth="19420" windowHeight="10300" activeTab="3" xr2:uid="{A109239F-88B2-4AC7-A7B5-E62769900A99}"/>
  </bookViews>
  <sheets>
    <sheet name="Jumlah Daun" sheetId="5" r:id="rId1"/>
    <sheet name="Tinggi Tanaman" sheetId="2" r:id="rId2"/>
    <sheet name="Jumlah Anakan" sheetId="4" r:id="rId3"/>
    <sheet name="Intensitas Penyaki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5" i="6" l="1"/>
  <c r="AP26" i="6"/>
  <c r="AP27" i="6"/>
  <c r="AP28" i="6"/>
  <c r="AP29" i="6"/>
  <c r="AP30" i="6"/>
  <c r="AP31" i="6"/>
  <c r="AP32" i="6"/>
  <c r="AP24" i="6"/>
  <c r="AP74" i="4"/>
  <c r="AP75" i="4"/>
  <c r="AP76" i="4"/>
  <c r="AP77" i="4"/>
  <c r="AP78" i="4"/>
  <c r="AP79" i="4"/>
  <c r="AP80" i="4"/>
  <c r="AP81" i="4"/>
  <c r="AP73" i="4"/>
  <c r="AN101" i="6"/>
  <c r="AN85" i="6"/>
  <c r="AN69" i="6"/>
  <c r="AN53" i="6"/>
  <c r="AN37" i="6"/>
  <c r="AN21" i="6"/>
  <c r="AN5" i="6"/>
  <c r="AN102" i="4"/>
  <c r="AN86" i="4"/>
  <c r="AN70" i="4"/>
  <c r="AN54" i="4"/>
  <c r="AN38" i="4"/>
  <c r="AN22" i="4"/>
  <c r="AN6" i="4"/>
  <c r="AN134" i="2"/>
  <c r="AN118" i="2"/>
  <c r="AN102" i="2"/>
  <c r="AN86" i="2"/>
  <c r="AN70" i="2"/>
  <c r="AN54" i="2"/>
  <c r="AN38" i="2"/>
  <c r="AN22" i="2"/>
  <c r="AN6" i="2"/>
  <c r="AN133" i="5"/>
  <c r="AN117" i="5"/>
  <c r="AN101" i="5"/>
  <c r="AN85" i="5"/>
  <c r="AN69" i="5"/>
  <c r="AN53" i="5"/>
  <c r="AN37" i="5"/>
  <c r="AN21" i="5"/>
  <c r="AN5" i="5"/>
  <c r="AN3" i="5"/>
  <c r="AT133" i="5"/>
  <c r="AU130" i="5"/>
  <c r="AT130" i="5"/>
  <c r="AU127" i="5"/>
  <c r="AV127" i="5" s="1"/>
  <c r="AT127" i="5"/>
  <c r="AU126" i="5"/>
  <c r="AV126" i="5" s="1"/>
  <c r="AT126" i="5"/>
  <c r="AU125" i="5"/>
  <c r="AV125" i="5" s="1"/>
  <c r="AT125" i="5"/>
  <c r="AU124" i="5"/>
  <c r="AV124" i="5" s="1"/>
  <c r="AT124" i="5"/>
  <c r="AT118" i="5"/>
  <c r="AU115" i="5" s="1"/>
  <c r="AT115" i="5"/>
  <c r="AT114" i="5" s="1"/>
  <c r="AT112" i="5"/>
  <c r="AX112" i="5" s="1"/>
  <c r="AT111" i="5"/>
  <c r="AX111" i="5" s="1"/>
  <c r="AT110" i="5"/>
  <c r="AX110" i="5" s="1"/>
  <c r="AT109" i="5"/>
  <c r="AX109" i="5" s="1"/>
  <c r="AT103" i="5"/>
  <c r="AU100" i="5" s="1"/>
  <c r="AU99" i="5" s="1"/>
  <c r="AT100" i="5"/>
  <c r="AT98" i="5"/>
  <c r="AU97" i="5"/>
  <c r="AV97" i="5" s="1"/>
  <c r="AT97" i="5"/>
  <c r="AU96" i="5"/>
  <c r="AV96" i="5" s="1"/>
  <c r="AT96" i="5"/>
  <c r="AU95" i="5"/>
  <c r="AV95" i="5" s="1"/>
  <c r="AT95" i="5"/>
  <c r="AU94" i="5"/>
  <c r="AV94" i="5" s="1"/>
  <c r="AT94" i="5"/>
  <c r="AT88" i="5"/>
  <c r="AU85" i="5" s="1"/>
  <c r="AU84" i="5" s="1"/>
  <c r="AT85" i="5"/>
  <c r="AU82" i="5"/>
  <c r="AV82" i="5" s="1"/>
  <c r="AT82" i="5"/>
  <c r="AU81" i="5"/>
  <c r="AV81" i="5" s="1"/>
  <c r="AT81" i="5"/>
  <c r="AU80" i="5"/>
  <c r="AV80" i="5" s="1"/>
  <c r="AT80" i="5"/>
  <c r="AU79" i="5"/>
  <c r="AV79" i="5" s="1"/>
  <c r="AT79" i="5"/>
  <c r="AT73" i="5"/>
  <c r="AU70" i="5"/>
  <c r="AT70" i="5"/>
  <c r="AU67" i="5"/>
  <c r="AV67" i="5" s="1"/>
  <c r="AT67" i="5"/>
  <c r="AU66" i="5"/>
  <c r="AV66" i="5" s="1"/>
  <c r="AT66" i="5"/>
  <c r="AU65" i="5"/>
  <c r="AV65" i="5" s="1"/>
  <c r="AT65" i="5"/>
  <c r="AU64" i="5"/>
  <c r="AV64" i="5" s="1"/>
  <c r="AT64" i="5"/>
  <c r="AT58" i="5"/>
  <c r="AU55" i="5"/>
  <c r="AU54" i="5" s="1"/>
  <c r="AT55" i="5"/>
  <c r="AU52" i="5"/>
  <c r="AV52" i="5" s="1"/>
  <c r="AT52" i="5"/>
  <c r="AU51" i="5"/>
  <c r="AV51" i="5" s="1"/>
  <c r="AT51" i="5"/>
  <c r="AU50" i="5"/>
  <c r="AV50" i="5" s="1"/>
  <c r="AT50" i="5"/>
  <c r="AU49" i="5"/>
  <c r="AV49" i="5" s="1"/>
  <c r="AT49" i="5"/>
  <c r="AT43" i="5"/>
  <c r="AU40" i="5" s="1"/>
  <c r="AU39" i="5" s="1"/>
  <c r="AT40" i="5"/>
  <c r="AU37" i="5"/>
  <c r="AV37" i="5" s="1"/>
  <c r="AT37" i="5"/>
  <c r="AU36" i="5"/>
  <c r="AV36" i="5" s="1"/>
  <c r="AT36" i="5"/>
  <c r="AU35" i="5"/>
  <c r="AV35" i="5" s="1"/>
  <c r="AT35" i="5"/>
  <c r="AU34" i="5"/>
  <c r="AV34" i="5" s="1"/>
  <c r="AT34" i="5"/>
  <c r="AT28" i="5"/>
  <c r="AU25" i="5" s="1"/>
  <c r="AU24" i="5" s="1"/>
  <c r="AT25" i="5"/>
  <c r="AU22" i="5"/>
  <c r="AV22" i="5" s="1"/>
  <c r="AT22" i="5"/>
  <c r="AU21" i="5"/>
  <c r="AV21" i="5" s="1"/>
  <c r="AT21" i="5"/>
  <c r="AU20" i="5"/>
  <c r="AU23" i="5" s="1"/>
  <c r="AT20" i="5"/>
  <c r="AU19" i="5"/>
  <c r="AV19" i="5" s="1"/>
  <c r="AT19" i="5"/>
  <c r="AT13" i="5"/>
  <c r="AU10" i="5" s="1"/>
  <c r="AT10" i="5"/>
  <c r="AT7" i="5"/>
  <c r="AT6" i="5"/>
  <c r="AT8" i="5" s="1"/>
  <c r="AT5" i="5"/>
  <c r="AT4" i="5"/>
  <c r="AT9" i="5" s="1"/>
  <c r="AT142" i="2"/>
  <c r="AU139" i="2"/>
  <c r="AT139" i="2"/>
  <c r="AU136" i="2"/>
  <c r="AV136" i="2" s="1"/>
  <c r="AT136" i="2"/>
  <c r="AU135" i="2"/>
  <c r="AV135" i="2" s="1"/>
  <c r="AT135" i="2"/>
  <c r="AU134" i="2"/>
  <c r="AV134" i="2" s="1"/>
  <c r="AT134" i="2"/>
  <c r="AU133" i="2"/>
  <c r="AV133" i="2" s="1"/>
  <c r="AT133" i="2"/>
  <c r="AT126" i="2"/>
  <c r="AU123" i="2" s="1"/>
  <c r="AT123" i="2"/>
  <c r="AT120" i="2"/>
  <c r="AT119" i="2"/>
  <c r="AT118" i="2"/>
  <c r="AT117" i="2"/>
  <c r="AT110" i="2"/>
  <c r="AU107" i="2"/>
  <c r="AT107" i="2"/>
  <c r="AU104" i="2"/>
  <c r="AV104" i="2" s="1"/>
  <c r="AT104" i="2"/>
  <c r="AU103" i="2"/>
  <c r="AV103" i="2" s="1"/>
  <c r="AT103" i="2"/>
  <c r="AU102" i="2"/>
  <c r="AU105" i="2" s="1"/>
  <c r="AT102" i="2"/>
  <c r="AU101" i="2"/>
  <c r="AV101" i="2" s="1"/>
  <c r="AT101" i="2"/>
  <c r="AT94" i="2"/>
  <c r="AU91" i="2" s="1"/>
  <c r="AT91" i="2"/>
  <c r="AT88" i="2"/>
  <c r="AT87" i="2"/>
  <c r="AT86" i="2"/>
  <c r="AT85" i="2"/>
  <c r="AT78" i="2"/>
  <c r="AU72" i="2" s="1"/>
  <c r="AV72" i="2" s="1"/>
  <c r="AU75" i="2"/>
  <c r="AT75" i="2"/>
  <c r="AT74" i="2" s="1"/>
  <c r="AT72" i="2"/>
  <c r="AT71" i="2"/>
  <c r="AT73" i="2" s="1"/>
  <c r="AT70" i="2"/>
  <c r="AT69" i="2"/>
  <c r="AT62" i="2"/>
  <c r="AU59" i="2" s="1"/>
  <c r="AT59" i="2"/>
  <c r="AT56" i="2"/>
  <c r="AT55" i="2"/>
  <c r="AT54" i="2"/>
  <c r="AT53" i="2"/>
  <c r="AT46" i="2"/>
  <c r="AU43" i="2" s="1"/>
  <c r="AU42" i="2" s="1"/>
  <c r="AT43" i="2"/>
  <c r="AU40" i="2"/>
  <c r="AV40" i="2" s="1"/>
  <c r="AT40" i="2"/>
  <c r="AU39" i="2"/>
  <c r="AV39" i="2" s="1"/>
  <c r="AT39" i="2"/>
  <c r="AU38" i="2"/>
  <c r="AV38" i="2" s="1"/>
  <c r="AT38" i="2"/>
  <c r="AU37" i="2"/>
  <c r="AV37" i="2" s="1"/>
  <c r="AT37" i="2"/>
  <c r="AT30" i="2"/>
  <c r="AU27" i="2" s="1"/>
  <c r="AU26" i="2" s="1"/>
  <c r="AT27" i="2"/>
  <c r="AU24" i="2"/>
  <c r="AV24" i="2" s="1"/>
  <c r="AT24" i="2"/>
  <c r="AU23" i="2"/>
  <c r="AV23" i="2" s="1"/>
  <c r="AT23" i="2"/>
  <c r="AU22" i="2"/>
  <c r="AU25" i="2" s="1"/>
  <c r="AT22" i="2"/>
  <c r="AU21" i="2"/>
  <c r="AV21" i="2" s="1"/>
  <c r="AT21" i="2"/>
  <c r="AT14" i="2"/>
  <c r="AU11" i="2" s="1"/>
  <c r="AT11" i="2"/>
  <c r="AT8" i="2"/>
  <c r="AT7" i="2"/>
  <c r="AT6" i="2"/>
  <c r="AT5" i="2"/>
  <c r="AT110" i="4"/>
  <c r="AU107" i="4"/>
  <c r="AU106" i="4" s="1"/>
  <c r="AT107" i="4"/>
  <c r="AU104" i="4"/>
  <c r="AV104" i="4" s="1"/>
  <c r="AT104" i="4"/>
  <c r="AU103" i="4"/>
  <c r="AV103" i="4" s="1"/>
  <c r="AT103" i="4"/>
  <c r="AU102" i="4"/>
  <c r="AV102" i="4" s="1"/>
  <c r="AT102" i="4"/>
  <c r="AU101" i="4"/>
  <c r="AV101" i="4" s="1"/>
  <c r="AT101" i="4"/>
  <c r="AT94" i="4"/>
  <c r="AU91" i="4"/>
  <c r="AT91" i="4"/>
  <c r="AU88" i="4"/>
  <c r="AV88" i="4" s="1"/>
  <c r="AT88" i="4"/>
  <c r="AU87" i="4"/>
  <c r="AV87" i="4" s="1"/>
  <c r="AT87" i="4"/>
  <c r="AU86" i="4"/>
  <c r="AU89" i="4" s="1"/>
  <c r="AT86" i="4"/>
  <c r="AU85" i="4"/>
  <c r="AV85" i="4" s="1"/>
  <c r="AT85" i="4"/>
  <c r="AT78" i="4"/>
  <c r="AU75" i="4"/>
  <c r="AT75" i="4"/>
  <c r="AU72" i="4"/>
  <c r="AV72" i="4" s="1"/>
  <c r="AT72" i="4"/>
  <c r="AU71" i="4"/>
  <c r="AV71" i="4" s="1"/>
  <c r="AT71" i="4"/>
  <c r="AU70" i="4"/>
  <c r="AV70" i="4" s="1"/>
  <c r="AT70" i="4"/>
  <c r="AU69" i="4"/>
  <c r="AV69" i="4" s="1"/>
  <c r="AT69" i="4"/>
  <c r="AT62" i="4"/>
  <c r="AU59" i="4"/>
  <c r="AT59" i="4"/>
  <c r="AU56" i="4"/>
  <c r="AV56" i="4" s="1"/>
  <c r="AT56" i="4"/>
  <c r="AU55" i="4"/>
  <c r="AV55" i="4" s="1"/>
  <c r="AT55" i="4"/>
  <c r="AU54" i="4"/>
  <c r="AU57" i="4" s="1"/>
  <c r="AT54" i="4"/>
  <c r="AU53" i="4"/>
  <c r="AV53" i="4" s="1"/>
  <c r="AT53" i="4"/>
  <c r="AT46" i="4"/>
  <c r="AU43" i="4" s="1"/>
  <c r="AU42" i="4" s="1"/>
  <c r="AT43" i="4"/>
  <c r="AU40" i="4"/>
  <c r="AV40" i="4" s="1"/>
  <c r="AT40" i="4"/>
  <c r="AU39" i="4"/>
  <c r="AV39" i="4" s="1"/>
  <c r="AT39" i="4"/>
  <c r="AU38" i="4"/>
  <c r="AV38" i="4" s="1"/>
  <c r="AT38" i="4"/>
  <c r="AU37" i="4"/>
  <c r="AV37" i="4" s="1"/>
  <c r="AT37" i="4"/>
  <c r="AT30" i="4"/>
  <c r="AU27" i="4"/>
  <c r="AU26" i="4" s="1"/>
  <c r="AT27" i="4"/>
  <c r="AU24" i="4"/>
  <c r="AV24" i="4" s="1"/>
  <c r="AT24" i="4"/>
  <c r="AU23" i="4"/>
  <c r="AV23" i="4" s="1"/>
  <c r="AT23" i="4"/>
  <c r="AU22" i="4"/>
  <c r="AV22" i="4" s="1"/>
  <c r="AT22" i="4"/>
  <c r="AU21" i="4"/>
  <c r="AV21" i="4" s="1"/>
  <c r="AT21" i="4"/>
  <c r="AY9" i="4"/>
  <c r="AU11" i="4"/>
  <c r="AU10" i="4" s="1"/>
  <c r="AU9" i="4"/>
  <c r="AU8" i="4"/>
  <c r="AV8" i="4" s="1"/>
  <c r="AU7" i="4"/>
  <c r="AV7" i="4" s="1"/>
  <c r="AU6" i="4"/>
  <c r="AV6" i="4" s="1"/>
  <c r="AU5" i="4"/>
  <c r="AV5" i="4" s="1"/>
  <c r="AT11" i="4"/>
  <c r="AT10" i="4"/>
  <c r="AT14" i="4"/>
  <c r="AT8" i="4"/>
  <c r="AT7" i="4"/>
  <c r="AT6" i="4"/>
  <c r="AT5" i="4"/>
  <c r="AT103" i="6"/>
  <c r="AW98" i="6"/>
  <c r="AU100" i="6"/>
  <c r="AT100" i="6"/>
  <c r="AU97" i="6"/>
  <c r="AV97" i="6" s="1"/>
  <c r="AT97" i="6"/>
  <c r="AU96" i="6"/>
  <c r="AV96" i="6" s="1"/>
  <c r="AT96" i="6"/>
  <c r="AU95" i="6"/>
  <c r="AV95" i="6" s="1"/>
  <c r="AT95" i="6"/>
  <c r="AU94" i="6"/>
  <c r="AV94" i="6" s="1"/>
  <c r="AT94" i="6"/>
  <c r="AT88" i="6"/>
  <c r="AU85" i="6"/>
  <c r="AU84" i="6" s="1"/>
  <c r="AT85" i="6"/>
  <c r="AU82" i="6"/>
  <c r="AV82" i="6" s="1"/>
  <c r="AT82" i="6"/>
  <c r="AU81" i="6"/>
  <c r="AV81" i="6" s="1"/>
  <c r="AT81" i="6"/>
  <c r="AU80" i="6"/>
  <c r="AV80" i="6" s="1"/>
  <c r="AT80" i="6"/>
  <c r="AU79" i="6"/>
  <c r="AV79" i="6" s="1"/>
  <c r="AT79" i="6"/>
  <c r="AT73" i="6"/>
  <c r="AU70" i="6" s="1"/>
  <c r="AT70" i="6"/>
  <c r="AT69" i="6" s="1"/>
  <c r="AT67" i="6"/>
  <c r="AX67" i="6" s="1"/>
  <c r="AT66" i="6"/>
  <c r="AX66" i="6" s="1"/>
  <c r="AT65" i="6"/>
  <c r="AT64" i="6"/>
  <c r="AX64" i="6" s="1"/>
  <c r="AT58" i="6"/>
  <c r="AU55" i="6"/>
  <c r="AT55" i="6"/>
  <c r="AU52" i="6"/>
  <c r="AV52" i="6" s="1"/>
  <c r="AT52" i="6"/>
  <c r="AU51" i="6"/>
  <c r="AV51" i="6" s="1"/>
  <c r="AT51" i="6"/>
  <c r="AU50" i="6"/>
  <c r="AV50" i="6" s="1"/>
  <c r="AT50" i="6"/>
  <c r="AU49" i="6"/>
  <c r="AV49" i="6" s="1"/>
  <c r="AT49" i="6"/>
  <c r="AT43" i="6"/>
  <c r="AU40" i="6" s="1"/>
  <c r="AU39" i="6" s="1"/>
  <c r="AT40" i="6"/>
  <c r="AU37" i="6"/>
  <c r="AV37" i="6" s="1"/>
  <c r="AT37" i="6"/>
  <c r="AU36" i="6"/>
  <c r="AV36" i="6" s="1"/>
  <c r="AT36" i="6"/>
  <c r="AU35" i="6"/>
  <c r="AV35" i="6" s="1"/>
  <c r="AT35" i="6"/>
  <c r="AU34" i="6"/>
  <c r="AV34" i="6" s="1"/>
  <c r="AT34" i="6"/>
  <c r="AT28" i="6"/>
  <c r="AU25" i="6" s="1"/>
  <c r="AU24" i="6" s="1"/>
  <c r="AT25" i="6"/>
  <c r="AU22" i="6"/>
  <c r="AV22" i="6" s="1"/>
  <c r="AT22" i="6"/>
  <c r="AU21" i="6"/>
  <c r="AV21" i="6" s="1"/>
  <c r="AT21" i="6"/>
  <c r="AU20" i="6"/>
  <c r="AV20" i="6" s="1"/>
  <c r="AT20" i="6"/>
  <c r="AU19" i="6"/>
  <c r="AV19" i="6" s="1"/>
  <c r="AT19" i="6"/>
  <c r="AY8" i="6"/>
  <c r="AZ8" i="6" s="1"/>
  <c r="BA8" i="6" s="1"/>
  <c r="AY7" i="6"/>
  <c r="AY6" i="6"/>
  <c r="AZ6" i="6" s="1"/>
  <c r="BA6" i="6" s="1"/>
  <c r="AY5" i="6"/>
  <c r="AZ5" i="6" s="1"/>
  <c r="BA5" i="6" s="1"/>
  <c r="AY4" i="6"/>
  <c r="AX8" i="6"/>
  <c r="AX7" i="6"/>
  <c r="AX6" i="6"/>
  <c r="AX5" i="6"/>
  <c r="AX4" i="6"/>
  <c r="AW8" i="6"/>
  <c r="AW7" i="6"/>
  <c r="AW6" i="6"/>
  <c r="AW5" i="6"/>
  <c r="AW4" i="6"/>
  <c r="AV5" i="6"/>
  <c r="AV6" i="6"/>
  <c r="AV7" i="6"/>
  <c r="AV8" i="6"/>
  <c r="AV9" i="6"/>
  <c r="AV4" i="6"/>
  <c r="AU9" i="6"/>
  <c r="AU10" i="6"/>
  <c r="AU7" i="6"/>
  <c r="AU6" i="6"/>
  <c r="AU5" i="6"/>
  <c r="AT13" i="6"/>
  <c r="AU4" i="6"/>
  <c r="AT9" i="6"/>
  <c r="AT8" i="6"/>
  <c r="AT5" i="6"/>
  <c r="AT10" i="6"/>
  <c r="AT7" i="6"/>
  <c r="AT6" i="6"/>
  <c r="AT4" i="6"/>
  <c r="W4" i="6"/>
  <c r="W7" i="5"/>
  <c r="W5" i="5"/>
  <c r="W4" i="5"/>
  <c r="AY127" i="5" l="1"/>
  <c r="AW127" i="5"/>
  <c r="AZ127" i="5" s="1"/>
  <c r="BA127" i="5" s="1"/>
  <c r="AY124" i="5"/>
  <c r="AW124" i="5"/>
  <c r="AZ124" i="5" s="1"/>
  <c r="BA124" i="5" s="1"/>
  <c r="AY125" i="5"/>
  <c r="AT128" i="5"/>
  <c r="AT129" i="5"/>
  <c r="AY126" i="5" s="1"/>
  <c r="AU128" i="5"/>
  <c r="AV128" i="5" s="1"/>
  <c r="AU129" i="5"/>
  <c r="AV129" i="5" s="1"/>
  <c r="AW125" i="5" s="1"/>
  <c r="AZ125" i="5" s="1"/>
  <c r="BA125" i="5" s="1"/>
  <c r="AX124" i="5"/>
  <c r="AX125" i="5"/>
  <c r="AX126" i="5"/>
  <c r="AX127" i="5"/>
  <c r="AY112" i="5"/>
  <c r="AY109" i="5"/>
  <c r="AY110" i="5"/>
  <c r="AY111" i="5"/>
  <c r="AT113" i="5"/>
  <c r="AU109" i="5"/>
  <c r="AV109" i="5" s="1"/>
  <c r="AU110" i="5"/>
  <c r="AU111" i="5"/>
  <c r="AV111" i="5" s="1"/>
  <c r="AU112" i="5"/>
  <c r="AV112" i="5" s="1"/>
  <c r="AW97" i="5"/>
  <c r="AY98" i="5"/>
  <c r="AW94" i="5"/>
  <c r="AY97" i="5"/>
  <c r="AY94" i="5"/>
  <c r="AV99" i="5"/>
  <c r="AW95" i="5" s="1"/>
  <c r="AT99" i="5"/>
  <c r="AY95" i="5" s="1"/>
  <c r="AX94" i="5"/>
  <c r="AX95" i="5"/>
  <c r="AX96" i="5"/>
  <c r="AX97" i="5"/>
  <c r="AX98" i="5"/>
  <c r="AU98" i="5"/>
  <c r="AV98" i="5" s="1"/>
  <c r="AY79" i="5"/>
  <c r="AY80" i="5"/>
  <c r="AY81" i="5"/>
  <c r="AT84" i="5"/>
  <c r="AV84" i="5" s="1"/>
  <c r="AU83" i="5"/>
  <c r="AT83" i="5"/>
  <c r="AX79" i="5"/>
  <c r="AX80" i="5"/>
  <c r="AX81" i="5"/>
  <c r="AX82" i="5"/>
  <c r="AY67" i="5"/>
  <c r="AW67" i="5"/>
  <c r="AZ67" i="5" s="1"/>
  <c r="BA67" i="5" s="1"/>
  <c r="AY64" i="5"/>
  <c r="AW64" i="5"/>
  <c r="AZ64" i="5" s="1"/>
  <c r="BA64" i="5" s="1"/>
  <c r="AY65" i="5"/>
  <c r="AT68" i="5"/>
  <c r="AT69" i="5"/>
  <c r="AY66" i="5" s="1"/>
  <c r="AU68" i="5"/>
  <c r="AV68" i="5" s="1"/>
  <c r="AU69" i="5"/>
  <c r="AV69" i="5" s="1"/>
  <c r="AW65" i="5" s="1"/>
  <c r="AZ65" i="5" s="1"/>
  <c r="BA65" i="5" s="1"/>
  <c r="AX64" i="5"/>
  <c r="AX65" i="5"/>
  <c r="AX66" i="5"/>
  <c r="AX67" i="5"/>
  <c r="AY49" i="5"/>
  <c r="AY52" i="5"/>
  <c r="AV54" i="5"/>
  <c r="AW52" i="5" s="1"/>
  <c r="AZ52" i="5" s="1"/>
  <c r="BA52" i="5" s="1"/>
  <c r="AT54" i="5"/>
  <c r="AY51" i="5" s="1"/>
  <c r="AU53" i="5"/>
  <c r="AT53" i="5"/>
  <c r="AX49" i="5"/>
  <c r="AX50" i="5"/>
  <c r="AX51" i="5"/>
  <c r="AX52" i="5"/>
  <c r="AY36" i="5"/>
  <c r="AY37" i="5"/>
  <c r="AY34" i="5"/>
  <c r="AT38" i="5"/>
  <c r="AT39" i="5"/>
  <c r="AY35" i="5" s="1"/>
  <c r="AU38" i="5"/>
  <c r="AV38" i="5" s="1"/>
  <c r="AX34" i="5"/>
  <c r="AX35" i="5"/>
  <c r="AX36" i="5"/>
  <c r="AX37" i="5"/>
  <c r="AT24" i="5"/>
  <c r="AY22" i="5" s="1"/>
  <c r="AV20" i="5"/>
  <c r="AT23" i="5"/>
  <c r="AY7" i="5"/>
  <c r="AY6" i="5"/>
  <c r="AY5" i="5"/>
  <c r="AY4" i="5"/>
  <c r="AX7" i="5"/>
  <c r="AX6" i="5"/>
  <c r="AX5" i="5"/>
  <c r="AX4" i="5"/>
  <c r="AY8" i="5"/>
  <c r="AX8" i="5"/>
  <c r="AU4" i="5"/>
  <c r="AV4" i="5" s="1"/>
  <c r="AU5" i="5"/>
  <c r="AU6" i="5"/>
  <c r="AV6" i="5" s="1"/>
  <c r="AU7" i="5"/>
  <c r="AV7" i="5" s="1"/>
  <c r="AY135" i="2"/>
  <c r="AY136" i="2"/>
  <c r="AY133" i="2"/>
  <c r="AT137" i="2"/>
  <c r="AU137" i="2"/>
  <c r="AT138" i="2"/>
  <c r="AY134" i="2" s="1"/>
  <c r="AX133" i="2"/>
  <c r="AX134" i="2"/>
  <c r="AX135" i="2"/>
  <c r="AX136" i="2"/>
  <c r="AU138" i="2"/>
  <c r="AV138" i="2" s="1"/>
  <c r="AW133" i="2" s="1"/>
  <c r="AZ133" i="2" s="1"/>
  <c r="BA133" i="2" s="1"/>
  <c r="AT121" i="2"/>
  <c r="AU118" i="2"/>
  <c r="AT122" i="2"/>
  <c r="AU117" i="2"/>
  <c r="AV117" i="2" s="1"/>
  <c r="AU119" i="2"/>
  <c r="AV119" i="2" s="1"/>
  <c r="AU120" i="2"/>
  <c r="AV120" i="2" s="1"/>
  <c r="AY103" i="2"/>
  <c r="AW103" i="2"/>
  <c r="AW104" i="2"/>
  <c r="AW101" i="2"/>
  <c r="AV105" i="2"/>
  <c r="AW105" i="2" s="1"/>
  <c r="AY101" i="2"/>
  <c r="AY102" i="2"/>
  <c r="AT106" i="2"/>
  <c r="AY104" i="2" s="1"/>
  <c r="AU106" i="2"/>
  <c r="AV106" i="2" s="1"/>
  <c r="AT105" i="2"/>
  <c r="AV102" i="2"/>
  <c r="AW102" i="2" s="1"/>
  <c r="AX101" i="2"/>
  <c r="AX102" i="2"/>
  <c r="AX103" i="2"/>
  <c r="AX104" i="2"/>
  <c r="AY87" i="2"/>
  <c r="AT89" i="2"/>
  <c r="AU85" i="2"/>
  <c r="AV85" i="2" s="1"/>
  <c r="AU86" i="2"/>
  <c r="AU87" i="2"/>
  <c r="AV87" i="2" s="1"/>
  <c r="AU88" i="2"/>
  <c r="AV88" i="2" s="1"/>
  <c r="AT90" i="2"/>
  <c r="AX86" i="2" s="1"/>
  <c r="AX87" i="2"/>
  <c r="AX73" i="2"/>
  <c r="AY73" i="2"/>
  <c r="AX72" i="2"/>
  <c r="AX70" i="2"/>
  <c r="AX69" i="2"/>
  <c r="AY72" i="2"/>
  <c r="AX71" i="2"/>
  <c r="AY71" i="2"/>
  <c r="AY70" i="2"/>
  <c r="AY69" i="2"/>
  <c r="AU71" i="2"/>
  <c r="AV71" i="2" s="1"/>
  <c r="AU69" i="2"/>
  <c r="AV69" i="2" s="1"/>
  <c r="AU70" i="2"/>
  <c r="AX55" i="2"/>
  <c r="AX56" i="2"/>
  <c r="AT57" i="2"/>
  <c r="AU53" i="2"/>
  <c r="AV53" i="2" s="1"/>
  <c r="AU55" i="2"/>
  <c r="AV55" i="2" s="1"/>
  <c r="AT58" i="2"/>
  <c r="AX53" i="2" s="1"/>
  <c r="AU54" i="2"/>
  <c r="AU56" i="2"/>
  <c r="AV56" i="2" s="1"/>
  <c r="AY39" i="2"/>
  <c r="AY40" i="2"/>
  <c r="AY37" i="2"/>
  <c r="AT42" i="2"/>
  <c r="AY38" i="2" s="1"/>
  <c r="AU41" i="2"/>
  <c r="AX37" i="2"/>
  <c r="AX38" i="2"/>
  <c r="AX39" i="2"/>
  <c r="AX40" i="2"/>
  <c r="AT41" i="2"/>
  <c r="AY23" i="2"/>
  <c r="AY24" i="2"/>
  <c r="AY22" i="2"/>
  <c r="AY21" i="2"/>
  <c r="AT25" i="2"/>
  <c r="AT26" i="2"/>
  <c r="AV26" i="2" s="1"/>
  <c r="AV22" i="2"/>
  <c r="AX21" i="2"/>
  <c r="AX22" i="2"/>
  <c r="AX23" i="2"/>
  <c r="AX24" i="2"/>
  <c r="AT9" i="2"/>
  <c r="AT10" i="2"/>
  <c r="AU5" i="2"/>
  <c r="AV5" i="2" s="1"/>
  <c r="AU6" i="2"/>
  <c r="AU7" i="2"/>
  <c r="AV7" i="2" s="1"/>
  <c r="AU8" i="2"/>
  <c r="AV8" i="2" s="1"/>
  <c r="AY103" i="4"/>
  <c r="AY101" i="4"/>
  <c r="AT105" i="4"/>
  <c r="AT106" i="4"/>
  <c r="AY102" i="4" s="1"/>
  <c r="AX101" i="4"/>
  <c r="AX102" i="4"/>
  <c r="AX103" i="4"/>
  <c r="AX104" i="4"/>
  <c r="AU105" i="4"/>
  <c r="AV105" i="4" s="1"/>
  <c r="AY87" i="4"/>
  <c r="AW87" i="4"/>
  <c r="AZ87" i="4" s="1"/>
  <c r="BA87" i="4" s="1"/>
  <c r="AY88" i="4"/>
  <c r="AW88" i="4"/>
  <c r="AZ88" i="4" s="1"/>
  <c r="BA88" i="4" s="1"/>
  <c r="AY85" i="4"/>
  <c r="AW85" i="4"/>
  <c r="AZ85" i="4" s="1"/>
  <c r="BA85" i="4" s="1"/>
  <c r="AY86" i="4"/>
  <c r="AT90" i="4"/>
  <c r="AU90" i="4"/>
  <c r="AV90" i="4" s="1"/>
  <c r="AV86" i="4"/>
  <c r="AW86" i="4" s="1"/>
  <c r="AX85" i="4"/>
  <c r="AX86" i="4"/>
  <c r="AX87" i="4"/>
  <c r="AX88" i="4"/>
  <c r="AT89" i="4"/>
  <c r="AY71" i="4"/>
  <c r="AY72" i="4"/>
  <c r="AW72" i="4"/>
  <c r="AZ72" i="4" s="1"/>
  <c r="BA72" i="4" s="1"/>
  <c r="AY69" i="4"/>
  <c r="AW69" i="4"/>
  <c r="AY70" i="4"/>
  <c r="AT73" i="4"/>
  <c r="AT74" i="4"/>
  <c r="AU73" i="4"/>
  <c r="AV73" i="4" s="1"/>
  <c r="AU74" i="4"/>
  <c r="AV74" i="4" s="1"/>
  <c r="AW70" i="4" s="1"/>
  <c r="AZ70" i="4" s="1"/>
  <c r="BA70" i="4" s="1"/>
  <c r="AX69" i="4"/>
  <c r="AX70" i="4"/>
  <c r="AX71" i="4"/>
  <c r="AX72" i="4"/>
  <c r="AY56" i="4"/>
  <c r="AW56" i="4"/>
  <c r="AY53" i="4"/>
  <c r="AY54" i="4"/>
  <c r="AT58" i="4"/>
  <c r="AY55" i="4" s="1"/>
  <c r="AU58" i="4"/>
  <c r="AV58" i="4" s="1"/>
  <c r="AW53" i="4" s="1"/>
  <c r="AZ53" i="4" s="1"/>
  <c r="BA53" i="4" s="1"/>
  <c r="AV54" i="4"/>
  <c r="AT57" i="4"/>
  <c r="AX53" i="4"/>
  <c r="AX54" i="4"/>
  <c r="AX55" i="4"/>
  <c r="AX56" i="4"/>
  <c r="AY39" i="4"/>
  <c r="AY40" i="4"/>
  <c r="AT41" i="4"/>
  <c r="AT42" i="4"/>
  <c r="AY37" i="4" s="1"/>
  <c r="AU41" i="4"/>
  <c r="AV41" i="4" s="1"/>
  <c r="AX37" i="4"/>
  <c r="AX38" i="4"/>
  <c r="AX39" i="4"/>
  <c r="AX40" i="4"/>
  <c r="AY23" i="4"/>
  <c r="AY21" i="4"/>
  <c r="AY22" i="4"/>
  <c r="AW22" i="4"/>
  <c r="AZ22" i="4" s="1"/>
  <c r="BA22" i="4" s="1"/>
  <c r="AW23" i="4"/>
  <c r="AW21" i="4"/>
  <c r="AV26" i="4"/>
  <c r="AW24" i="4" s="1"/>
  <c r="AT26" i="4"/>
  <c r="AY24" i="4" s="1"/>
  <c r="AU25" i="4"/>
  <c r="AT25" i="4"/>
  <c r="AX21" i="4"/>
  <c r="AX22" i="4"/>
  <c r="AX23" i="4"/>
  <c r="AX24" i="4"/>
  <c r="AY6" i="4"/>
  <c r="AY7" i="4"/>
  <c r="AY8" i="4"/>
  <c r="AY5" i="4"/>
  <c r="AV10" i="4"/>
  <c r="AT9" i="4"/>
  <c r="AV9" i="4"/>
  <c r="AX5" i="4"/>
  <c r="AX6" i="4"/>
  <c r="AX7" i="4"/>
  <c r="AX8" i="4"/>
  <c r="AY96" i="6"/>
  <c r="AW96" i="6"/>
  <c r="AW97" i="6"/>
  <c r="AY94" i="6"/>
  <c r="AY95" i="6"/>
  <c r="AT98" i="6"/>
  <c r="AT99" i="6"/>
  <c r="AY97" i="6" s="1"/>
  <c r="AU98" i="6"/>
  <c r="AU99" i="6"/>
  <c r="AV99" i="6" s="1"/>
  <c r="AW94" i="6" s="1"/>
  <c r="AZ94" i="6" s="1"/>
  <c r="BA94" i="6" s="1"/>
  <c r="AX94" i="6"/>
  <c r="AX95" i="6"/>
  <c r="AX96" i="6"/>
  <c r="AX97" i="6"/>
  <c r="AY79" i="6"/>
  <c r="AV84" i="6"/>
  <c r="AW79" i="6" s="1"/>
  <c r="AZ79" i="6" s="1"/>
  <c r="BA79" i="6" s="1"/>
  <c r="AU83" i="6"/>
  <c r="AT83" i="6"/>
  <c r="AT84" i="6"/>
  <c r="AY81" i="6" s="1"/>
  <c r="AX79" i="6"/>
  <c r="AX80" i="6"/>
  <c r="AX81" i="6"/>
  <c r="AX82" i="6"/>
  <c r="AY66" i="6"/>
  <c r="AY64" i="6"/>
  <c r="AY67" i="6"/>
  <c r="AY65" i="6"/>
  <c r="AX65" i="6"/>
  <c r="AU64" i="6"/>
  <c r="AV64" i="6" s="1"/>
  <c r="AU65" i="6"/>
  <c r="AU66" i="6"/>
  <c r="AV66" i="6" s="1"/>
  <c r="AU67" i="6"/>
  <c r="AV67" i="6" s="1"/>
  <c r="AT68" i="6"/>
  <c r="AY50" i="6"/>
  <c r="AT54" i="6"/>
  <c r="AY51" i="6" s="1"/>
  <c r="AU54" i="6"/>
  <c r="AV54" i="6" s="1"/>
  <c r="AW50" i="6" s="1"/>
  <c r="AZ50" i="6" s="1"/>
  <c r="BA50" i="6" s="1"/>
  <c r="AT53" i="6"/>
  <c r="AU53" i="6"/>
  <c r="AV53" i="6" s="1"/>
  <c r="AT38" i="6"/>
  <c r="AU38" i="6"/>
  <c r="AV38" i="6" s="1"/>
  <c r="AT39" i="6"/>
  <c r="AY35" i="6" s="1"/>
  <c r="AT23" i="6"/>
  <c r="AT24" i="6"/>
  <c r="AY20" i="6" s="1"/>
  <c r="AU23" i="6"/>
  <c r="AV23" i="6" s="1"/>
  <c r="AZ7" i="6"/>
  <c r="BA7" i="6" s="1"/>
  <c r="AZ4" i="6"/>
  <c r="BA4" i="6" s="1"/>
  <c r="AU8" i="6"/>
  <c r="AD57" i="4"/>
  <c r="AD8" i="5"/>
  <c r="AW128" i="5" l="1"/>
  <c r="AW126" i="5"/>
  <c r="AZ126" i="5" s="1"/>
  <c r="BA126" i="5" s="1"/>
  <c r="AY128" i="5"/>
  <c r="AX128" i="5"/>
  <c r="AW109" i="5"/>
  <c r="AZ109" i="5" s="1"/>
  <c r="BA109" i="5" s="1"/>
  <c r="AX113" i="5"/>
  <c r="AY113" i="5"/>
  <c r="AV110" i="5"/>
  <c r="AW110" i="5" s="1"/>
  <c r="AZ110" i="5" s="1"/>
  <c r="BA110" i="5" s="1"/>
  <c r="AU113" i="5"/>
  <c r="AV113" i="5" s="1"/>
  <c r="AW113" i="5" s="1"/>
  <c r="AU114" i="5"/>
  <c r="AV114" i="5" s="1"/>
  <c r="AW112" i="5"/>
  <c r="AZ112" i="5" s="1"/>
  <c r="BA112" i="5" s="1"/>
  <c r="AW111" i="5"/>
  <c r="AZ111" i="5" s="1"/>
  <c r="BA111" i="5" s="1"/>
  <c r="AZ95" i="5"/>
  <c r="BA95" i="5" s="1"/>
  <c r="AZ97" i="5"/>
  <c r="BA97" i="5" s="1"/>
  <c r="AW96" i="5"/>
  <c r="AZ94" i="5"/>
  <c r="BA94" i="5" s="1"/>
  <c r="AY96" i="5"/>
  <c r="AW98" i="5"/>
  <c r="AZ98" i="5" s="1"/>
  <c r="BA98" i="5" s="1"/>
  <c r="AW81" i="5"/>
  <c r="AZ81" i="5" s="1"/>
  <c r="BA81" i="5" s="1"/>
  <c r="AW82" i="5"/>
  <c r="AW80" i="5"/>
  <c r="AZ80" i="5" s="1"/>
  <c r="BA80" i="5" s="1"/>
  <c r="AW79" i="5"/>
  <c r="AZ79" i="5" s="1"/>
  <c r="BA79" i="5" s="1"/>
  <c r="AY83" i="5"/>
  <c r="AX83" i="5"/>
  <c r="AV83" i="5"/>
  <c r="AW83" i="5" s="1"/>
  <c r="AY82" i="5"/>
  <c r="AW68" i="5"/>
  <c r="AW66" i="5"/>
  <c r="AZ66" i="5" s="1"/>
  <c r="BA66" i="5" s="1"/>
  <c r="AY68" i="5"/>
  <c r="AX68" i="5"/>
  <c r="AW51" i="5"/>
  <c r="AZ51" i="5" s="1"/>
  <c r="BA51" i="5" s="1"/>
  <c r="AW50" i="5"/>
  <c r="AY53" i="5"/>
  <c r="AX53" i="5"/>
  <c r="AW49" i="5"/>
  <c r="AZ49" i="5" s="1"/>
  <c r="BA49" i="5" s="1"/>
  <c r="AV53" i="5"/>
  <c r="AW53" i="5" s="1"/>
  <c r="AY50" i="5"/>
  <c r="AY38" i="5"/>
  <c r="AX38" i="5"/>
  <c r="AV39" i="5"/>
  <c r="AV24" i="5"/>
  <c r="AY20" i="5"/>
  <c r="AY23" i="5"/>
  <c r="AX23" i="5"/>
  <c r="AX22" i="5"/>
  <c r="AY21" i="5"/>
  <c r="AX21" i="5"/>
  <c r="AY19" i="5"/>
  <c r="AX20" i="5"/>
  <c r="AV23" i="5"/>
  <c r="AW23" i="5" s="1"/>
  <c r="AX19" i="5"/>
  <c r="AW20" i="5"/>
  <c r="AZ20" i="5" s="1"/>
  <c r="BA20" i="5" s="1"/>
  <c r="AV5" i="5"/>
  <c r="AU8" i="5"/>
  <c r="AV8" i="5" s="1"/>
  <c r="AU9" i="5"/>
  <c r="AV9" i="5" s="1"/>
  <c r="AW6" i="5" s="1"/>
  <c r="AZ6" i="5" s="1"/>
  <c r="BA6" i="5" s="1"/>
  <c r="AW7" i="5"/>
  <c r="AZ7" i="5" s="1"/>
  <c r="BA7" i="5" s="1"/>
  <c r="AW136" i="2"/>
  <c r="AZ136" i="2" s="1"/>
  <c r="BA136" i="2" s="1"/>
  <c r="AW135" i="2"/>
  <c r="AZ135" i="2" s="1"/>
  <c r="BA135" i="2" s="1"/>
  <c r="AW134" i="2"/>
  <c r="AZ134" i="2" s="1"/>
  <c r="BA134" i="2" s="1"/>
  <c r="AV137" i="2"/>
  <c r="AW137" i="2" s="1"/>
  <c r="AY137" i="2"/>
  <c r="AX137" i="2"/>
  <c r="AW117" i="2"/>
  <c r="AU122" i="2"/>
  <c r="AV122" i="2" s="1"/>
  <c r="AY120" i="2"/>
  <c r="AY119" i="2"/>
  <c r="AY118" i="2"/>
  <c r="AY117" i="2"/>
  <c r="AV118" i="2"/>
  <c r="AW118" i="2" s="1"/>
  <c r="AZ118" i="2" s="1"/>
  <c r="BA118" i="2" s="1"/>
  <c r="AU121" i="2"/>
  <c r="AV121" i="2" s="1"/>
  <c r="AW121" i="2" s="1"/>
  <c r="AZ121" i="2" s="1"/>
  <c r="BA121" i="2" s="1"/>
  <c r="AX121" i="2"/>
  <c r="AY121" i="2"/>
  <c r="AX120" i="2"/>
  <c r="AX119" i="2"/>
  <c r="AW120" i="2"/>
  <c r="AZ120" i="2" s="1"/>
  <c r="BA120" i="2" s="1"/>
  <c r="AX118" i="2"/>
  <c r="AW119" i="2"/>
  <c r="AZ119" i="2" s="1"/>
  <c r="BA119" i="2" s="1"/>
  <c r="AX117" i="2"/>
  <c r="AZ101" i="2"/>
  <c r="BA101" i="2" s="1"/>
  <c r="AZ102" i="2"/>
  <c r="BA102" i="2" s="1"/>
  <c r="AZ104" i="2"/>
  <c r="BA104" i="2" s="1"/>
  <c r="AY105" i="2"/>
  <c r="AZ105" i="2" s="1"/>
  <c r="BA105" i="2" s="1"/>
  <c r="AX105" i="2"/>
  <c r="AZ103" i="2"/>
  <c r="BA103" i="2" s="1"/>
  <c r="AX85" i="2"/>
  <c r="AV86" i="2"/>
  <c r="AU89" i="2"/>
  <c r="AV89" i="2" s="1"/>
  <c r="AY89" i="2"/>
  <c r="AX89" i="2"/>
  <c r="AY88" i="2"/>
  <c r="AY86" i="2"/>
  <c r="AY85" i="2"/>
  <c r="AW88" i="2"/>
  <c r="AZ88" i="2" s="1"/>
  <c r="BA88" i="2" s="1"/>
  <c r="AX88" i="2"/>
  <c r="AU90" i="2"/>
  <c r="AV90" i="2" s="1"/>
  <c r="AW85" i="2" s="1"/>
  <c r="AZ85" i="2" s="1"/>
  <c r="BA85" i="2" s="1"/>
  <c r="AU74" i="2"/>
  <c r="AV74" i="2" s="1"/>
  <c r="AW72" i="2" s="1"/>
  <c r="AZ72" i="2" s="1"/>
  <c r="BA72" i="2" s="1"/>
  <c r="AU73" i="2"/>
  <c r="AV73" i="2" s="1"/>
  <c r="AW73" i="2" s="1"/>
  <c r="AZ73" i="2" s="1"/>
  <c r="BA73" i="2" s="1"/>
  <c r="AV70" i="2"/>
  <c r="AW69" i="2"/>
  <c r="AZ69" i="2" s="1"/>
  <c r="BA69" i="2" s="1"/>
  <c r="AW71" i="2"/>
  <c r="AZ71" i="2" s="1"/>
  <c r="BA71" i="2" s="1"/>
  <c r="AU58" i="2"/>
  <c r="AV58" i="2" s="1"/>
  <c r="AW53" i="2" s="1"/>
  <c r="AZ53" i="2" s="1"/>
  <c r="BA53" i="2" s="1"/>
  <c r="AW56" i="2"/>
  <c r="AZ56" i="2" s="1"/>
  <c r="BA56" i="2" s="1"/>
  <c r="AV54" i="2"/>
  <c r="AW54" i="2" s="1"/>
  <c r="AU57" i="2"/>
  <c r="AV57" i="2" s="1"/>
  <c r="AW57" i="2" s="1"/>
  <c r="AW55" i="2"/>
  <c r="AZ55" i="2" s="1"/>
  <c r="BA55" i="2" s="1"/>
  <c r="AX57" i="2"/>
  <c r="AY57" i="2"/>
  <c r="AY56" i="2"/>
  <c r="AY54" i="2"/>
  <c r="AY55" i="2"/>
  <c r="AY53" i="2"/>
  <c r="AX54" i="2"/>
  <c r="AY41" i="2"/>
  <c r="AX41" i="2"/>
  <c r="AV41" i="2"/>
  <c r="AV42" i="2"/>
  <c r="AW24" i="2"/>
  <c r="AZ24" i="2" s="1"/>
  <c r="BA24" i="2" s="1"/>
  <c r="AW23" i="2"/>
  <c r="AZ23" i="2" s="1"/>
  <c r="BA23" i="2" s="1"/>
  <c r="AW21" i="2"/>
  <c r="AZ21" i="2" s="1"/>
  <c r="BA21" i="2" s="1"/>
  <c r="AW22" i="2"/>
  <c r="AZ22" i="2" s="1"/>
  <c r="BA22" i="2" s="1"/>
  <c r="AY25" i="2"/>
  <c r="AX25" i="2"/>
  <c r="AV25" i="2"/>
  <c r="AW25" i="2" s="1"/>
  <c r="AZ25" i="2" s="1"/>
  <c r="BA25" i="2" s="1"/>
  <c r="AY8" i="2"/>
  <c r="AY7" i="2"/>
  <c r="AY6" i="2"/>
  <c r="AY5" i="2"/>
  <c r="AY9" i="2"/>
  <c r="AX9" i="2"/>
  <c r="AU10" i="2"/>
  <c r="AV10" i="2" s="1"/>
  <c r="AW5" i="2" s="1"/>
  <c r="AZ5" i="2" s="1"/>
  <c r="BA5" i="2" s="1"/>
  <c r="AX8" i="2"/>
  <c r="AX7" i="2"/>
  <c r="AX6" i="2"/>
  <c r="AV6" i="2"/>
  <c r="AU9" i="2"/>
  <c r="AV9" i="2" s="1"/>
  <c r="AX5" i="2"/>
  <c r="AY104" i="4"/>
  <c r="AY105" i="4"/>
  <c r="AX105" i="4"/>
  <c r="AV106" i="4"/>
  <c r="AW105" i="4" s="1"/>
  <c r="AZ105" i="4" s="1"/>
  <c r="BA105" i="4" s="1"/>
  <c r="AY89" i="4"/>
  <c r="AX89" i="4"/>
  <c r="AZ86" i="4"/>
  <c r="BA86" i="4" s="1"/>
  <c r="AV89" i="4"/>
  <c r="AW89" i="4" s="1"/>
  <c r="AZ89" i="4" s="1"/>
  <c r="BA89" i="4" s="1"/>
  <c r="AZ69" i="4"/>
  <c r="BA69" i="4" s="1"/>
  <c r="AW73" i="4"/>
  <c r="AW71" i="4"/>
  <c r="AZ71" i="4" s="1"/>
  <c r="BA71" i="4" s="1"/>
  <c r="AY73" i="4"/>
  <c r="AX73" i="4"/>
  <c r="AW55" i="4"/>
  <c r="AZ55" i="4" s="1"/>
  <c r="BA55" i="4" s="1"/>
  <c r="AY57" i="4"/>
  <c r="AX57" i="4"/>
  <c r="AV57" i="4"/>
  <c r="AW57" i="4" s="1"/>
  <c r="AW54" i="4"/>
  <c r="AZ54" i="4" s="1"/>
  <c r="BA54" i="4" s="1"/>
  <c r="AZ56" i="4"/>
  <c r="BA56" i="4" s="1"/>
  <c r="AY38" i="4"/>
  <c r="AY41" i="4"/>
  <c r="AX41" i="4"/>
  <c r="AV42" i="4"/>
  <c r="AZ24" i="4"/>
  <c r="BA24" i="4" s="1"/>
  <c r="AZ21" i="4"/>
  <c r="BA21" i="4" s="1"/>
  <c r="AV25" i="4"/>
  <c r="AW25" i="4" s="1"/>
  <c r="AZ23" i="4"/>
  <c r="BA23" i="4" s="1"/>
  <c r="AY25" i="4"/>
  <c r="AX25" i="4"/>
  <c r="AW6" i="4"/>
  <c r="AZ6" i="4" s="1"/>
  <c r="BA6" i="4" s="1"/>
  <c r="AW8" i="4"/>
  <c r="AZ8" i="4" s="1"/>
  <c r="BA8" i="4" s="1"/>
  <c r="AW7" i="4"/>
  <c r="AZ7" i="4" s="1"/>
  <c r="BA7" i="4" s="1"/>
  <c r="AW5" i="4"/>
  <c r="AZ5" i="4" s="1"/>
  <c r="BA5" i="4" s="1"/>
  <c r="AW9" i="4"/>
  <c r="AX9" i="4"/>
  <c r="AZ97" i="6"/>
  <c r="BA97" i="6" s="1"/>
  <c r="AZ96" i="6"/>
  <c r="BA96" i="6" s="1"/>
  <c r="AW95" i="6"/>
  <c r="AZ95" i="6" s="1"/>
  <c r="BA95" i="6" s="1"/>
  <c r="AV98" i="6"/>
  <c r="AY98" i="6"/>
  <c r="AX98" i="6"/>
  <c r="AW82" i="6"/>
  <c r="AZ82" i="6" s="1"/>
  <c r="BA82" i="6" s="1"/>
  <c r="AW81" i="6"/>
  <c r="AZ81" i="6" s="1"/>
  <c r="BA81" i="6" s="1"/>
  <c r="AW80" i="6"/>
  <c r="AY83" i="6"/>
  <c r="AX83" i="6"/>
  <c r="AV83" i="6"/>
  <c r="AW83" i="6" s="1"/>
  <c r="AZ83" i="6" s="1"/>
  <c r="BA83" i="6" s="1"/>
  <c r="AY82" i="6"/>
  <c r="AY80" i="6"/>
  <c r="AX68" i="6"/>
  <c r="AY68" i="6"/>
  <c r="AW67" i="6"/>
  <c r="AZ67" i="6" s="1"/>
  <c r="BA67" i="6" s="1"/>
  <c r="AV65" i="6"/>
  <c r="AU68" i="6"/>
  <c r="AV68" i="6" s="1"/>
  <c r="AU69" i="6"/>
  <c r="AV69" i="6" s="1"/>
  <c r="AW64" i="6" s="1"/>
  <c r="AZ64" i="6" s="1"/>
  <c r="BA64" i="6" s="1"/>
  <c r="AW49" i="6"/>
  <c r="AX52" i="6"/>
  <c r="AY49" i="6"/>
  <c r="AX51" i="6"/>
  <c r="AW52" i="6"/>
  <c r="AX50" i="6"/>
  <c r="AY52" i="6"/>
  <c r="AX49" i="6"/>
  <c r="AW51" i="6"/>
  <c r="AW53" i="6"/>
  <c r="AY53" i="6"/>
  <c r="AX53" i="6"/>
  <c r="AX37" i="6"/>
  <c r="AX36" i="6"/>
  <c r="AX34" i="6"/>
  <c r="AY34" i="6"/>
  <c r="AX35" i="6"/>
  <c r="AY37" i="6"/>
  <c r="AW38" i="6"/>
  <c r="AZ38" i="6" s="1"/>
  <c r="BA38" i="6" s="1"/>
  <c r="AY36" i="6"/>
  <c r="AY38" i="6"/>
  <c r="AX38" i="6"/>
  <c r="AV39" i="6"/>
  <c r="AY19" i="6"/>
  <c r="AY23" i="6"/>
  <c r="AX23" i="6"/>
  <c r="AX22" i="6"/>
  <c r="AY22" i="6"/>
  <c r="AX21" i="6"/>
  <c r="AX20" i="6"/>
  <c r="AY21" i="6"/>
  <c r="AX19" i="6"/>
  <c r="AV24" i="6"/>
  <c r="AP78" i="5"/>
  <c r="W6" i="2"/>
  <c r="W117" i="2"/>
  <c r="AP94" i="2"/>
  <c r="AP49" i="4"/>
  <c r="Q20" i="5"/>
  <c r="AZ128" i="5" l="1"/>
  <c r="BA128" i="5" s="1"/>
  <c r="AZ113" i="5"/>
  <c r="BA113" i="5" s="1"/>
  <c r="AZ96" i="5"/>
  <c r="BA96" i="5" s="1"/>
  <c r="AZ83" i="5"/>
  <c r="BA83" i="5" s="1"/>
  <c r="AZ82" i="5"/>
  <c r="BA82" i="5" s="1"/>
  <c r="AZ68" i="5"/>
  <c r="BA68" i="5" s="1"/>
  <c r="AZ53" i="5"/>
  <c r="BA53" i="5" s="1"/>
  <c r="AZ50" i="5"/>
  <c r="BA50" i="5" s="1"/>
  <c r="AW36" i="5"/>
  <c r="AZ36" i="5" s="1"/>
  <c r="BA36" i="5" s="1"/>
  <c r="AW35" i="5"/>
  <c r="AZ35" i="5" s="1"/>
  <c r="BA35" i="5" s="1"/>
  <c r="AW37" i="5"/>
  <c r="AZ37" i="5" s="1"/>
  <c r="BA37" i="5" s="1"/>
  <c r="AW34" i="5"/>
  <c r="AZ34" i="5" s="1"/>
  <c r="BA34" i="5" s="1"/>
  <c r="AW38" i="5"/>
  <c r="AZ38" i="5" s="1"/>
  <c r="BA38" i="5" s="1"/>
  <c r="AZ23" i="5"/>
  <c r="BA23" i="5" s="1"/>
  <c r="AW22" i="5"/>
  <c r="AZ22" i="5" s="1"/>
  <c r="BA22" i="5" s="1"/>
  <c r="AW19" i="5"/>
  <c r="AZ19" i="5" s="1"/>
  <c r="BA19" i="5" s="1"/>
  <c r="AW21" i="5"/>
  <c r="AZ21" i="5" s="1"/>
  <c r="BA21" i="5" s="1"/>
  <c r="AW8" i="5"/>
  <c r="AZ8" i="5" s="1"/>
  <c r="BA8" i="5" s="1"/>
  <c r="AW4" i="5"/>
  <c r="AZ4" i="5" s="1"/>
  <c r="BA4" i="5" s="1"/>
  <c r="AW5" i="5"/>
  <c r="AZ5" i="5" s="1"/>
  <c r="BA5" i="5" s="1"/>
  <c r="AZ137" i="2"/>
  <c r="BA137" i="2" s="1"/>
  <c r="AZ117" i="2"/>
  <c r="BA117" i="2" s="1"/>
  <c r="AW87" i="2"/>
  <c r="AZ87" i="2" s="1"/>
  <c r="BA87" i="2" s="1"/>
  <c r="AW89" i="2"/>
  <c r="AZ89" i="2" s="1"/>
  <c r="BA89" i="2" s="1"/>
  <c r="AW86" i="2"/>
  <c r="AZ86" i="2" s="1"/>
  <c r="BA86" i="2" s="1"/>
  <c r="AW70" i="2"/>
  <c r="AZ70" i="2" s="1"/>
  <c r="BA70" i="2" s="1"/>
  <c r="AZ57" i="2"/>
  <c r="BA57" i="2" s="1"/>
  <c r="AZ54" i="2"/>
  <c r="BA54" i="2" s="1"/>
  <c r="AW38" i="2"/>
  <c r="AZ38" i="2" s="1"/>
  <c r="BA38" i="2" s="1"/>
  <c r="AW39" i="2"/>
  <c r="AZ39" i="2" s="1"/>
  <c r="BA39" i="2" s="1"/>
  <c r="AW40" i="2"/>
  <c r="AZ40" i="2" s="1"/>
  <c r="BA40" i="2" s="1"/>
  <c r="AW37" i="2"/>
  <c r="AZ37" i="2" s="1"/>
  <c r="BA37" i="2" s="1"/>
  <c r="AW41" i="2"/>
  <c r="AZ41" i="2" s="1"/>
  <c r="BA41" i="2" s="1"/>
  <c r="AW9" i="2"/>
  <c r="AZ9" i="2" s="1"/>
  <c r="BA9" i="2" s="1"/>
  <c r="AW6" i="2"/>
  <c r="AZ6" i="2" s="1"/>
  <c r="BA6" i="2" s="1"/>
  <c r="AW7" i="2"/>
  <c r="AZ7" i="2" s="1"/>
  <c r="BA7" i="2" s="1"/>
  <c r="AW8" i="2"/>
  <c r="AZ8" i="2" s="1"/>
  <c r="BA8" i="2" s="1"/>
  <c r="AW103" i="4"/>
  <c r="AZ103" i="4" s="1"/>
  <c r="BA103" i="4" s="1"/>
  <c r="AW101" i="4"/>
  <c r="AZ101" i="4" s="1"/>
  <c r="BA101" i="4" s="1"/>
  <c r="AW104" i="4"/>
  <c r="AZ104" i="4" s="1"/>
  <c r="BA104" i="4" s="1"/>
  <c r="AW102" i="4"/>
  <c r="AZ102" i="4" s="1"/>
  <c r="BA102" i="4" s="1"/>
  <c r="AZ73" i="4"/>
  <c r="BA73" i="4" s="1"/>
  <c r="AZ57" i="4"/>
  <c r="BA57" i="4" s="1"/>
  <c r="AW37" i="4"/>
  <c r="AZ37" i="4" s="1"/>
  <c r="BA37" i="4" s="1"/>
  <c r="AW38" i="4"/>
  <c r="AZ38" i="4" s="1"/>
  <c r="BA38" i="4" s="1"/>
  <c r="AW40" i="4"/>
  <c r="AZ40" i="4" s="1"/>
  <c r="BA40" i="4" s="1"/>
  <c r="AW39" i="4"/>
  <c r="AZ39" i="4" s="1"/>
  <c r="BA39" i="4" s="1"/>
  <c r="AW41" i="4"/>
  <c r="AZ41" i="4" s="1"/>
  <c r="BA41" i="4" s="1"/>
  <c r="AZ25" i="4"/>
  <c r="BA25" i="4" s="1"/>
  <c r="AZ9" i="4"/>
  <c r="BA9" i="4" s="1"/>
  <c r="AZ98" i="6"/>
  <c r="BA98" i="6" s="1"/>
  <c r="AZ80" i="6"/>
  <c r="BA80" i="6" s="1"/>
  <c r="AW68" i="6"/>
  <c r="AZ68" i="6" s="1"/>
  <c r="BA68" i="6" s="1"/>
  <c r="AW65" i="6"/>
  <c r="AZ65" i="6" s="1"/>
  <c r="BA65" i="6" s="1"/>
  <c r="AW66" i="6"/>
  <c r="AZ66" i="6" s="1"/>
  <c r="BA66" i="6" s="1"/>
  <c r="AZ52" i="6"/>
  <c r="BA52" i="6" s="1"/>
  <c r="AZ53" i="6"/>
  <c r="BA53" i="6" s="1"/>
  <c r="AZ51" i="6"/>
  <c r="BA51" i="6" s="1"/>
  <c r="AZ49" i="6"/>
  <c r="BA49" i="6" s="1"/>
  <c r="AW35" i="6"/>
  <c r="AZ35" i="6" s="1"/>
  <c r="BA35" i="6" s="1"/>
  <c r="AW36" i="6"/>
  <c r="AZ36" i="6" s="1"/>
  <c r="BA36" i="6" s="1"/>
  <c r="AW37" i="6"/>
  <c r="AZ37" i="6" s="1"/>
  <c r="BA37" i="6" s="1"/>
  <c r="AW34" i="6"/>
  <c r="AZ34" i="6" s="1"/>
  <c r="BA34" i="6" s="1"/>
  <c r="AW20" i="6"/>
  <c r="AZ20" i="6" s="1"/>
  <c r="BA20" i="6" s="1"/>
  <c r="AW21" i="6"/>
  <c r="AZ21" i="6" s="1"/>
  <c r="BA21" i="6" s="1"/>
  <c r="AW22" i="6"/>
  <c r="AZ22" i="6" s="1"/>
  <c r="BA22" i="6" s="1"/>
  <c r="AW19" i="6"/>
  <c r="AZ19" i="6" s="1"/>
  <c r="BA19" i="6" s="1"/>
  <c r="AW23" i="6"/>
  <c r="AZ23" i="6" s="1"/>
  <c r="BA23" i="6" s="1"/>
  <c r="AD99" i="6"/>
  <c r="AD98" i="6"/>
  <c r="AI96" i="6" s="1"/>
  <c r="AD97" i="6"/>
  <c r="AD96" i="6"/>
  <c r="AH96" i="6" s="1"/>
  <c r="AD95" i="6"/>
  <c r="AD94" i="6"/>
  <c r="AD84" i="6"/>
  <c r="AD83" i="6"/>
  <c r="AH81" i="6" s="1"/>
  <c r="AD82" i="6"/>
  <c r="AI82" i="6" s="1"/>
  <c r="AD81" i="6"/>
  <c r="AD80" i="6"/>
  <c r="AD79" i="6"/>
  <c r="AD69" i="6"/>
  <c r="AD68" i="6"/>
  <c r="AD67" i="6"/>
  <c r="AD66" i="6"/>
  <c r="AD65" i="6"/>
  <c r="AD64" i="6"/>
  <c r="AD54" i="6"/>
  <c r="AD53" i="6"/>
  <c r="AD52" i="6"/>
  <c r="AD51" i="6"/>
  <c r="AH51" i="6" s="1"/>
  <c r="AD50" i="6"/>
  <c r="AI50" i="6" s="1"/>
  <c r="AD49" i="6"/>
  <c r="AH49" i="6" s="1"/>
  <c r="AD39" i="6"/>
  <c r="AD38" i="6"/>
  <c r="AD37" i="6"/>
  <c r="AI37" i="6" s="1"/>
  <c r="AH36" i="6"/>
  <c r="AD36" i="6"/>
  <c r="AD35" i="6"/>
  <c r="AI35" i="6" s="1"/>
  <c r="AD34" i="6"/>
  <c r="AH34" i="6" s="1"/>
  <c r="AD24" i="6"/>
  <c r="AD23" i="6"/>
  <c r="AD22" i="6"/>
  <c r="AD21" i="6"/>
  <c r="AH21" i="6" s="1"/>
  <c r="AD20" i="6"/>
  <c r="AD19" i="6"/>
  <c r="AH19" i="6" s="1"/>
  <c r="AD9" i="6"/>
  <c r="AD8" i="6"/>
  <c r="AI6" i="6" s="1"/>
  <c r="AD7" i="6"/>
  <c r="AI7" i="6" s="1"/>
  <c r="AD6" i="6"/>
  <c r="AD5" i="6"/>
  <c r="AD4" i="6"/>
  <c r="Y96" i="6"/>
  <c r="X96" i="6"/>
  <c r="W96" i="6"/>
  <c r="Y95" i="6"/>
  <c r="X95" i="6"/>
  <c r="W95" i="6"/>
  <c r="Y94" i="6"/>
  <c r="X94" i="6"/>
  <c r="W94" i="6"/>
  <c r="Y81" i="6"/>
  <c r="X81" i="6"/>
  <c r="W81" i="6"/>
  <c r="Y80" i="6"/>
  <c r="X80" i="6"/>
  <c r="W80" i="6"/>
  <c r="Y79" i="6"/>
  <c r="X79" i="6"/>
  <c r="W79" i="6"/>
  <c r="Y66" i="6"/>
  <c r="X66" i="6"/>
  <c r="W66" i="6"/>
  <c r="Y65" i="6"/>
  <c r="X65" i="6"/>
  <c r="W65" i="6"/>
  <c r="Y64" i="6"/>
  <c r="X64" i="6"/>
  <c r="W64" i="6"/>
  <c r="Y51" i="6"/>
  <c r="X51" i="6"/>
  <c r="W51" i="6"/>
  <c r="Y50" i="6"/>
  <c r="X50" i="6"/>
  <c r="W50" i="6"/>
  <c r="Y49" i="6"/>
  <c r="X49" i="6"/>
  <c r="W49" i="6"/>
  <c r="Y36" i="6"/>
  <c r="X36" i="6"/>
  <c r="W36" i="6"/>
  <c r="Y35" i="6"/>
  <c r="X35" i="6"/>
  <c r="W35" i="6"/>
  <c r="Y34" i="6"/>
  <c r="X34" i="6"/>
  <c r="W34" i="6"/>
  <c r="Y21" i="6"/>
  <c r="X21" i="6"/>
  <c r="W21" i="6"/>
  <c r="Y20" i="6"/>
  <c r="X20" i="6"/>
  <c r="W20" i="6"/>
  <c r="Y19" i="6"/>
  <c r="X19" i="6"/>
  <c r="X23" i="6" s="1"/>
  <c r="W19" i="6"/>
  <c r="Q96" i="6"/>
  <c r="Q97" i="6"/>
  <c r="Q98" i="6"/>
  <c r="Q99" i="6"/>
  <c r="Q100" i="6"/>
  <c r="Q101" i="6"/>
  <c r="Q102" i="6"/>
  <c r="Q103" i="6"/>
  <c r="Q95" i="6"/>
  <c r="P96" i="6"/>
  <c r="P97" i="6"/>
  <c r="P98" i="6"/>
  <c r="P99" i="6"/>
  <c r="P100" i="6"/>
  <c r="P101" i="6"/>
  <c r="P102" i="6"/>
  <c r="P103" i="6"/>
  <c r="P95" i="6"/>
  <c r="E105" i="6"/>
  <c r="F105" i="6"/>
  <c r="G105" i="6"/>
  <c r="H105" i="6"/>
  <c r="I105" i="6"/>
  <c r="J105" i="6"/>
  <c r="K105" i="6"/>
  <c r="L105" i="6"/>
  <c r="M105" i="6"/>
  <c r="N105" i="6"/>
  <c r="O105" i="6"/>
  <c r="E104" i="6"/>
  <c r="F104" i="6"/>
  <c r="G104" i="6"/>
  <c r="H104" i="6"/>
  <c r="I104" i="6"/>
  <c r="J104" i="6"/>
  <c r="K104" i="6"/>
  <c r="L104" i="6"/>
  <c r="M104" i="6"/>
  <c r="N104" i="6"/>
  <c r="O104" i="6"/>
  <c r="D105" i="6"/>
  <c r="D104" i="6"/>
  <c r="Q81" i="6"/>
  <c r="Q82" i="6"/>
  <c r="Q83" i="6"/>
  <c r="Q84" i="6"/>
  <c r="Q85" i="6"/>
  <c r="Q86" i="6"/>
  <c r="Q87" i="6"/>
  <c r="Q88" i="6"/>
  <c r="Q80" i="6"/>
  <c r="P81" i="6"/>
  <c r="P82" i="6"/>
  <c r="P83" i="6"/>
  <c r="P84" i="6"/>
  <c r="P85" i="6"/>
  <c r="P86" i="6"/>
  <c r="P87" i="6"/>
  <c r="P88" i="6"/>
  <c r="P80" i="6"/>
  <c r="E90" i="6"/>
  <c r="F90" i="6"/>
  <c r="G90" i="6"/>
  <c r="H90" i="6"/>
  <c r="I90" i="6"/>
  <c r="J90" i="6"/>
  <c r="K90" i="6"/>
  <c r="L90" i="6"/>
  <c r="M90" i="6"/>
  <c r="N90" i="6"/>
  <c r="O90" i="6"/>
  <c r="D90" i="6"/>
  <c r="E89" i="6"/>
  <c r="F89" i="6"/>
  <c r="G89" i="6"/>
  <c r="H89" i="6"/>
  <c r="I89" i="6"/>
  <c r="J89" i="6"/>
  <c r="K89" i="6"/>
  <c r="L89" i="6"/>
  <c r="M89" i="6"/>
  <c r="N89" i="6"/>
  <c r="O89" i="6"/>
  <c r="D89" i="6"/>
  <c r="Q66" i="6"/>
  <c r="Q67" i="6"/>
  <c r="Q68" i="6"/>
  <c r="Q69" i="6"/>
  <c r="Q70" i="6"/>
  <c r="Q71" i="6"/>
  <c r="Q72" i="6"/>
  <c r="Q73" i="6"/>
  <c r="Q65" i="6"/>
  <c r="P66" i="6"/>
  <c r="P67" i="6"/>
  <c r="P68" i="6"/>
  <c r="P69" i="6"/>
  <c r="P70" i="6"/>
  <c r="P71" i="6"/>
  <c r="P72" i="6"/>
  <c r="P73" i="6"/>
  <c r="P65" i="6"/>
  <c r="E75" i="6"/>
  <c r="F75" i="6"/>
  <c r="G75" i="6"/>
  <c r="H75" i="6"/>
  <c r="I75" i="6"/>
  <c r="J75" i="6"/>
  <c r="K75" i="6"/>
  <c r="L75" i="6"/>
  <c r="M75" i="6"/>
  <c r="N75" i="6"/>
  <c r="O75" i="6"/>
  <c r="D75" i="6"/>
  <c r="O74" i="6"/>
  <c r="E74" i="6"/>
  <c r="F74" i="6"/>
  <c r="G74" i="6"/>
  <c r="H74" i="6"/>
  <c r="I74" i="6"/>
  <c r="J74" i="6"/>
  <c r="K74" i="6"/>
  <c r="L74" i="6"/>
  <c r="M74" i="6"/>
  <c r="N74" i="6"/>
  <c r="D74" i="6"/>
  <c r="Q51" i="6"/>
  <c r="Q52" i="6"/>
  <c r="Q53" i="6"/>
  <c r="Q54" i="6"/>
  <c r="Q55" i="6"/>
  <c r="Q56" i="6"/>
  <c r="Q57" i="6"/>
  <c r="Q58" i="6"/>
  <c r="Q50" i="6"/>
  <c r="P51" i="6"/>
  <c r="P52" i="6"/>
  <c r="P53" i="6"/>
  <c r="P54" i="6"/>
  <c r="P55" i="6"/>
  <c r="P56" i="6"/>
  <c r="P57" i="6"/>
  <c r="P58" i="6"/>
  <c r="P50" i="6"/>
  <c r="E60" i="6"/>
  <c r="F60" i="6"/>
  <c r="G60" i="6"/>
  <c r="H60" i="6"/>
  <c r="I60" i="6"/>
  <c r="J60" i="6"/>
  <c r="K60" i="6"/>
  <c r="L60" i="6"/>
  <c r="M60" i="6"/>
  <c r="N60" i="6"/>
  <c r="O60" i="6"/>
  <c r="D60" i="6"/>
  <c r="E59" i="6"/>
  <c r="F59" i="6"/>
  <c r="G59" i="6"/>
  <c r="H59" i="6"/>
  <c r="I59" i="6"/>
  <c r="J59" i="6"/>
  <c r="K59" i="6"/>
  <c r="L59" i="6"/>
  <c r="M59" i="6"/>
  <c r="N59" i="6"/>
  <c r="O59" i="6"/>
  <c r="D59" i="6"/>
  <c r="Q36" i="6"/>
  <c r="Q37" i="6"/>
  <c r="Q38" i="6"/>
  <c r="Q39" i="6"/>
  <c r="Q40" i="6"/>
  <c r="Q41" i="6"/>
  <c r="Q42" i="6"/>
  <c r="Q43" i="6"/>
  <c r="Q35" i="6"/>
  <c r="P36" i="6"/>
  <c r="P37" i="6"/>
  <c r="P38" i="6"/>
  <c r="P39" i="6"/>
  <c r="P40" i="6"/>
  <c r="P41" i="6"/>
  <c r="P42" i="6"/>
  <c r="P43" i="6"/>
  <c r="P35" i="6"/>
  <c r="E45" i="6"/>
  <c r="F45" i="6"/>
  <c r="G45" i="6"/>
  <c r="H45" i="6"/>
  <c r="I45" i="6"/>
  <c r="J45" i="6"/>
  <c r="K45" i="6"/>
  <c r="L45" i="6"/>
  <c r="M45" i="6"/>
  <c r="N45" i="6"/>
  <c r="O45" i="6"/>
  <c r="D45" i="6"/>
  <c r="E44" i="6"/>
  <c r="F44" i="6"/>
  <c r="G44" i="6"/>
  <c r="H44" i="6"/>
  <c r="I44" i="6"/>
  <c r="J44" i="6"/>
  <c r="K44" i="6"/>
  <c r="L44" i="6"/>
  <c r="M44" i="6"/>
  <c r="N44" i="6"/>
  <c r="O44" i="6"/>
  <c r="D44" i="6"/>
  <c r="Q21" i="6"/>
  <c r="Q22" i="6"/>
  <c r="Q23" i="6"/>
  <c r="Q24" i="6"/>
  <c r="Q25" i="6"/>
  <c r="Q26" i="6"/>
  <c r="Q27" i="6"/>
  <c r="Q28" i="6"/>
  <c r="Q20" i="6"/>
  <c r="E30" i="6"/>
  <c r="F30" i="6"/>
  <c r="G30" i="6"/>
  <c r="H30" i="6"/>
  <c r="I30" i="6"/>
  <c r="J30" i="6"/>
  <c r="K30" i="6"/>
  <c r="L30" i="6"/>
  <c r="M30" i="6"/>
  <c r="N30" i="6"/>
  <c r="O30" i="6"/>
  <c r="D30" i="6"/>
  <c r="P28" i="6"/>
  <c r="E29" i="6"/>
  <c r="F29" i="6"/>
  <c r="G29" i="6"/>
  <c r="H29" i="6"/>
  <c r="I29" i="6"/>
  <c r="J29" i="6"/>
  <c r="K29" i="6"/>
  <c r="L29" i="6"/>
  <c r="M29" i="6"/>
  <c r="N29" i="6"/>
  <c r="O29" i="6"/>
  <c r="D29" i="6"/>
  <c r="P21" i="6"/>
  <c r="P22" i="6"/>
  <c r="P23" i="6"/>
  <c r="P24" i="6"/>
  <c r="P25" i="6"/>
  <c r="P26" i="6"/>
  <c r="P27" i="6"/>
  <c r="P20" i="6"/>
  <c r="E15" i="6"/>
  <c r="F15" i="6"/>
  <c r="G15" i="6"/>
  <c r="H15" i="6"/>
  <c r="I15" i="6"/>
  <c r="J15" i="6"/>
  <c r="K15" i="6"/>
  <c r="L15" i="6"/>
  <c r="M15" i="6"/>
  <c r="N15" i="6"/>
  <c r="O15" i="6"/>
  <c r="D15" i="6"/>
  <c r="Q6" i="6"/>
  <c r="Q7" i="6"/>
  <c r="Q8" i="6"/>
  <c r="Q9" i="6"/>
  <c r="Q10" i="6"/>
  <c r="Q11" i="6"/>
  <c r="Q12" i="6"/>
  <c r="Q13" i="6"/>
  <c r="Q5" i="6"/>
  <c r="E14" i="6"/>
  <c r="F14" i="6"/>
  <c r="G14" i="6"/>
  <c r="H14" i="6"/>
  <c r="I14" i="6"/>
  <c r="J14" i="6"/>
  <c r="K14" i="6"/>
  <c r="L14" i="6"/>
  <c r="M14" i="6"/>
  <c r="N14" i="6"/>
  <c r="O14" i="6"/>
  <c r="D14" i="6"/>
  <c r="P6" i="6"/>
  <c r="P7" i="6"/>
  <c r="P8" i="6"/>
  <c r="P9" i="6"/>
  <c r="P10" i="6"/>
  <c r="P11" i="6"/>
  <c r="P12" i="6"/>
  <c r="P13" i="6"/>
  <c r="P5" i="6"/>
  <c r="Y6" i="6"/>
  <c r="X6" i="6"/>
  <c r="W6" i="6"/>
  <c r="Y5" i="6"/>
  <c r="X5" i="6"/>
  <c r="W5" i="6"/>
  <c r="Y4" i="6"/>
  <c r="X4" i="6"/>
  <c r="W7" i="6"/>
  <c r="AD129" i="5"/>
  <c r="AD128" i="5"/>
  <c r="AD127" i="5"/>
  <c r="AD126" i="5"/>
  <c r="AD125" i="5"/>
  <c r="AD124" i="5"/>
  <c r="AD114" i="5"/>
  <c r="AD113" i="5"/>
  <c r="AD112" i="5"/>
  <c r="AD111" i="5"/>
  <c r="AD110" i="5"/>
  <c r="AD109" i="5"/>
  <c r="AD99" i="5"/>
  <c r="AD98" i="5"/>
  <c r="AD97" i="5"/>
  <c r="AD96" i="5"/>
  <c r="AD95" i="5"/>
  <c r="AD94" i="5"/>
  <c r="AD84" i="5"/>
  <c r="AD83" i="5"/>
  <c r="AD82" i="5"/>
  <c r="AD81" i="5"/>
  <c r="AD80" i="5"/>
  <c r="AD79" i="5"/>
  <c r="AD69" i="5"/>
  <c r="AD68" i="5"/>
  <c r="AD67" i="5"/>
  <c r="AD66" i="5"/>
  <c r="AD65" i="5"/>
  <c r="AD64" i="5"/>
  <c r="AD54" i="5"/>
  <c r="AD53" i="5"/>
  <c r="AD52" i="5"/>
  <c r="AD51" i="5"/>
  <c r="AD50" i="5"/>
  <c r="AD49" i="5"/>
  <c r="AD39" i="5"/>
  <c r="AD38" i="5"/>
  <c r="AD37" i="5"/>
  <c r="AD36" i="5"/>
  <c r="AD35" i="5"/>
  <c r="AD34" i="5"/>
  <c r="AD24" i="5"/>
  <c r="AD23" i="5"/>
  <c r="AD22" i="5"/>
  <c r="AD21" i="5"/>
  <c r="AD20" i="5"/>
  <c r="AD19" i="5"/>
  <c r="AD9" i="5"/>
  <c r="AD7" i="5"/>
  <c r="AD6" i="5"/>
  <c r="AD5" i="5"/>
  <c r="AD4" i="5"/>
  <c r="AH4" i="5" s="1"/>
  <c r="Y126" i="5"/>
  <c r="X126" i="5"/>
  <c r="W126" i="5"/>
  <c r="Y125" i="5"/>
  <c r="X125" i="5"/>
  <c r="W125" i="5"/>
  <c r="Y124" i="5"/>
  <c r="X124" i="5"/>
  <c r="W124" i="5"/>
  <c r="Y111" i="5"/>
  <c r="X111" i="5"/>
  <c r="W111" i="5"/>
  <c r="Y110" i="5"/>
  <c r="X110" i="5"/>
  <c r="W110" i="5"/>
  <c r="Y109" i="5"/>
  <c r="X109" i="5"/>
  <c r="W109" i="5"/>
  <c r="Y96" i="5"/>
  <c r="X96" i="5"/>
  <c r="W96" i="5"/>
  <c r="Y95" i="5"/>
  <c r="X95" i="5"/>
  <c r="W95" i="5"/>
  <c r="Y94" i="5"/>
  <c r="X94" i="5"/>
  <c r="W94" i="5"/>
  <c r="Y81" i="5"/>
  <c r="X81" i="5"/>
  <c r="W81" i="5"/>
  <c r="Y80" i="5"/>
  <c r="X80" i="5"/>
  <c r="W80" i="5"/>
  <c r="Y79" i="5"/>
  <c r="X79" i="5"/>
  <c r="W79" i="5"/>
  <c r="Y66" i="5"/>
  <c r="X66" i="5"/>
  <c r="W66" i="5"/>
  <c r="Y65" i="5"/>
  <c r="X65" i="5"/>
  <c r="W65" i="5"/>
  <c r="Y64" i="5"/>
  <c r="X64" i="5"/>
  <c r="W64" i="5"/>
  <c r="Y51" i="5"/>
  <c r="X51" i="5"/>
  <c r="W51" i="5"/>
  <c r="Y50" i="5"/>
  <c r="X50" i="5"/>
  <c r="W50" i="5"/>
  <c r="Y49" i="5"/>
  <c r="X49" i="5"/>
  <c r="W49" i="5"/>
  <c r="Y36" i="5"/>
  <c r="X36" i="5"/>
  <c r="W36" i="5"/>
  <c r="Y35" i="5"/>
  <c r="X35" i="5"/>
  <c r="W35" i="5"/>
  <c r="Y34" i="5"/>
  <c r="X34" i="5"/>
  <c r="W34" i="5"/>
  <c r="Y21" i="5"/>
  <c r="X21" i="5"/>
  <c r="W21" i="5"/>
  <c r="Y20" i="5"/>
  <c r="X20" i="5"/>
  <c r="W20" i="5"/>
  <c r="Y19" i="5"/>
  <c r="X19" i="5"/>
  <c r="W19" i="5"/>
  <c r="Y6" i="5"/>
  <c r="X6" i="5"/>
  <c r="W6" i="5"/>
  <c r="Y5" i="5"/>
  <c r="X5" i="5"/>
  <c r="Y4" i="5"/>
  <c r="X4" i="5"/>
  <c r="AD138" i="2"/>
  <c r="AD137" i="2"/>
  <c r="AD136" i="2"/>
  <c r="AD135" i="2"/>
  <c r="AD134" i="2"/>
  <c r="AH134" i="2" s="1"/>
  <c r="AD133" i="2"/>
  <c r="AI133" i="2" s="1"/>
  <c r="AD122" i="2"/>
  <c r="AD121" i="2"/>
  <c r="AD120" i="2"/>
  <c r="AI120" i="2" s="1"/>
  <c r="AI119" i="2"/>
  <c r="AD119" i="2"/>
  <c r="AH119" i="2" s="1"/>
  <c r="AD118" i="2"/>
  <c r="AI118" i="2" s="1"/>
  <c r="AI117" i="2"/>
  <c r="AD117" i="2"/>
  <c r="AH117" i="2" s="1"/>
  <c r="AD106" i="2"/>
  <c r="AD105" i="2"/>
  <c r="AI104" i="2"/>
  <c r="AD104" i="2"/>
  <c r="AD103" i="2"/>
  <c r="AD102" i="2"/>
  <c r="AI102" i="2" s="1"/>
  <c r="AI101" i="2"/>
  <c r="AD101" i="2"/>
  <c r="AD90" i="2"/>
  <c r="AD89" i="2"/>
  <c r="AI88" i="2" s="1"/>
  <c r="AD88" i="2"/>
  <c r="AD87" i="2"/>
  <c r="AD86" i="2"/>
  <c r="AD85" i="2"/>
  <c r="AD74" i="2"/>
  <c r="AD73" i="2"/>
  <c r="AI70" i="2" s="1"/>
  <c r="AD72" i="2"/>
  <c r="AD71" i="2"/>
  <c r="AH70" i="2"/>
  <c r="AD70" i="2"/>
  <c r="AD69" i="2"/>
  <c r="AD58" i="2"/>
  <c r="AD57" i="2"/>
  <c r="AH55" i="2" s="1"/>
  <c r="AD56" i="2"/>
  <c r="AH56" i="2" s="1"/>
  <c r="AD55" i="2"/>
  <c r="AD54" i="2"/>
  <c r="AI54" i="2" s="1"/>
  <c r="AD53" i="2"/>
  <c r="AD42" i="2"/>
  <c r="AD41" i="2"/>
  <c r="AD40" i="2"/>
  <c r="AH40" i="2" s="1"/>
  <c r="AD39" i="2"/>
  <c r="AI39" i="2" s="1"/>
  <c r="AI38" i="2"/>
  <c r="AH38" i="2"/>
  <c r="AD38" i="2"/>
  <c r="AD37" i="2"/>
  <c r="AD26" i="2"/>
  <c r="AD25" i="2"/>
  <c r="AD24" i="2"/>
  <c r="AD23" i="2"/>
  <c r="AI23" i="2" s="1"/>
  <c r="AD22" i="2"/>
  <c r="AI22" i="2" s="1"/>
  <c r="AD21" i="2"/>
  <c r="AD10" i="2"/>
  <c r="AD9" i="2"/>
  <c r="AD8" i="2"/>
  <c r="AD7" i="2"/>
  <c r="AI7" i="2" s="1"/>
  <c r="AD6" i="2"/>
  <c r="AH6" i="2" s="1"/>
  <c r="AH5" i="2"/>
  <c r="AD5" i="2"/>
  <c r="AI5" i="2" s="1"/>
  <c r="Y135" i="2"/>
  <c r="X135" i="2"/>
  <c r="W135" i="2"/>
  <c r="Z135" i="2" s="1"/>
  <c r="Y134" i="2"/>
  <c r="X134" i="2"/>
  <c r="W134" i="2"/>
  <c r="Y133" i="2"/>
  <c r="X133" i="2"/>
  <c r="W133" i="2"/>
  <c r="Y119" i="2"/>
  <c r="X119" i="2"/>
  <c r="W119" i="2"/>
  <c r="Y118" i="2"/>
  <c r="X118" i="2"/>
  <c r="X121" i="2" s="1"/>
  <c r="W118" i="2"/>
  <c r="Y117" i="2"/>
  <c r="X117" i="2"/>
  <c r="Y103" i="2"/>
  <c r="X103" i="2"/>
  <c r="W103" i="2"/>
  <c r="AA103" i="2" s="1"/>
  <c r="Y102" i="2"/>
  <c r="X102" i="2"/>
  <c r="W102" i="2"/>
  <c r="Y101" i="2"/>
  <c r="X101" i="2"/>
  <c r="X105" i="2" s="1"/>
  <c r="W101" i="2"/>
  <c r="W88" i="2"/>
  <c r="Y87" i="2"/>
  <c r="X87" i="2"/>
  <c r="W87" i="2"/>
  <c r="Y86" i="2"/>
  <c r="X86" i="2"/>
  <c r="AA86" i="2" s="1"/>
  <c r="W86" i="2"/>
  <c r="Y85" i="2"/>
  <c r="Y89" i="2" s="1"/>
  <c r="X85" i="2"/>
  <c r="W85" i="2"/>
  <c r="Y71" i="2"/>
  <c r="X71" i="2"/>
  <c r="W71" i="2"/>
  <c r="AA71" i="2" s="1"/>
  <c r="AA70" i="2"/>
  <c r="Y70" i="2"/>
  <c r="X70" i="2"/>
  <c r="W70" i="2"/>
  <c r="Z70" i="2" s="1"/>
  <c r="Y69" i="2"/>
  <c r="Y73" i="2" s="1"/>
  <c r="X69" i="2"/>
  <c r="X73" i="2" s="1"/>
  <c r="W69" i="2"/>
  <c r="Z55" i="2"/>
  <c r="Y55" i="2"/>
  <c r="X55" i="2"/>
  <c r="W55" i="2"/>
  <c r="Y54" i="2"/>
  <c r="X54" i="2"/>
  <c r="W54" i="2"/>
  <c r="W57" i="2" s="1"/>
  <c r="Y53" i="2"/>
  <c r="Z53" i="2" s="1"/>
  <c r="X53" i="2"/>
  <c r="W53" i="2"/>
  <c r="AA53" i="2" s="1"/>
  <c r="Y39" i="2"/>
  <c r="X39" i="2"/>
  <c r="Z39" i="2" s="1"/>
  <c r="W39" i="2"/>
  <c r="Y38" i="2"/>
  <c r="X38" i="2"/>
  <c r="W38" i="2"/>
  <c r="Y37" i="2"/>
  <c r="X37" i="2"/>
  <c r="W37" i="2"/>
  <c r="W24" i="2"/>
  <c r="Y23" i="2"/>
  <c r="X23" i="2"/>
  <c r="W23" i="2"/>
  <c r="Y22" i="2"/>
  <c r="X22" i="2"/>
  <c r="W22" i="2"/>
  <c r="Y21" i="2"/>
  <c r="X21" i="2"/>
  <c r="W21" i="2"/>
  <c r="Y7" i="2"/>
  <c r="X7" i="2"/>
  <c r="W7" i="2"/>
  <c r="AA7" i="2" s="1"/>
  <c r="Y6" i="2"/>
  <c r="X6" i="2"/>
  <c r="Y5" i="2"/>
  <c r="Y9" i="2" s="1"/>
  <c r="X5" i="2"/>
  <c r="W5" i="2"/>
  <c r="AD106" i="4"/>
  <c r="AD105" i="4"/>
  <c r="AD104" i="4"/>
  <c r="AI104" i="4" s="1"/>
  <c r="AH103" i="4"/>
  <c r="AD103" i="4"/>
  <c r="AD102" i="4"/>
  <c r="AI102" i="4" s="1"/>
  <c r="AD101" i="4"/>
  <c r="AD90" i="4"/>
  <c r="AD89" i="4"/>
  <c r="AH85" i="4" s="1"/>
  <c r="AD88" i="4"/>
  <c r="AD87" i="4"/>
  <c r="AD86" i="4"/>
  <c r="AI86" i="4" s="1"/>
  <c r="AD85" i="4"/>
  <c r="AD74" i="4"/>
  <c r="AD73" i="4"/>
  <c r="AD72" i="4"/>
  <c r="AD71" i="4"/>
  <c r="AD70" i="4"/>
  <c r="AD69" i="4"/>
  <c r="AI69" i="4" s="1"/>
  <c r="AD58" i="4"/>
  <c r="AD56" i="4"/>
  <c r="AD55" i="4"/>
  <c r="AD54" i="4"/>
  <c r="AD53" i="4"/>
  <c r="AD42" i="4"/>
  <c r="AD41" i="4"/>
  <c r="AD40" i="4"/>
  <c r="AI40" i="4" s="1"/>
  <c r="AD39" i="4"/>
  <c r="AH39" i="4" s="1"/>
  <c r="AD38" i="4"/>
  <c r="AI37" i="4"/>
  <c r="AD37" i="4"/>
  <c r="AH37" i="4" s="1"/>
  <c r="AD26" i="4"/>
  <c r="AD25" i="4"/>
  <c r="AH21" i="4" s="1"/>
  <c r="AD24" i="4"/>
  <c r="AH24" i="4" s="1"/>
  <c r="AD23" i="4"/>
  <c r="AD22" i="4"/>
  <c r="AD21" i="4"/>
  <c r="Y103" i="4"/>
  <c r="Y104" i="4" s="1"/>
  <c r="X103" i="4"/>
  <c r="W103" i="4"/>
  <c r="Y102" i="4"/>
  <c r="X102" i="4"/>
  <c r="AA102" i="4" s="1"/>
  <c r="W102" i="4"/>
  <c r="Y101" i="4"/>
  <c r="X101" i="4"/>
  <c r="W101" i="4"/>
  <c r="Y87" i="4"/>
  <c r="X87" i="4"/>
  <c r="W87" i="4"/>
  <c r="Y86" i="4"/>
  <c r="X86" i="4"/>
  <c r="W86" i="4"/>
  <c r="Y85" i="4"/>
  <c r="X85" i="4"/>
  <c r="W85" i="4"/>
  <c r="AA85" i="4" s="1"/>
  <c r="Y71" i="4"/>
  <c r="X71" i="4"/>
  <c r="W71" i="4"/>
  <c r="Y70" i="4"/>
  <c r="X70" i="4"/>
  <c r="W70" i="4"/>
  <c r="Y69" i="4"/>
  <c r="X69" i="4"/>
  <c r="W69" i="4"/>
  <c r="Y55" i="4"/>
  <c r="X55" i="4"/>
  <c r="W55" i="4"/>
  <c r="Y54" i="4"/>
  <c r="X54" i="4"/>
  <c r="W54" i="4"/>
  <c r="Y53" i="4"/>
  <c r="X53" i="4"/>
  <c r="W53" i="4"/>
  <c r="Y39" i="4"/>
  <c r="AA39" i="4" s="1"/>
  <c r="X39" i="4"/>
  <c r="W39" i="4"/>
  <c r="Y38" i="4"/>
  <c r="X38" i="4"/>
  <c r="W38" i="4"/>
  <c r="Y37" i="4"/>
  <c r="X37" i="4"/>
  <c r="W37" i="4"/>
  <c r="Y23" i="4"/>
  <c r="X23" i="4"/>
  <c r="W23" i="4"/>
  <c r="AA23" i="4" s="1"/>
  <c r="Y22" i="4"/>
  <c r="X22" i="4"/>
  <c r="W22" i="4"/>
  <c r="Y21" i="4"/>
  <c r="X21" i="4"/>
  <c r="W21" i="4"/>
  <c r="AD10" i="4"/>
  <c r="AD9" i="4"/>
  <c r="AD8" i="4"/>
  <c r="AI8" i="4" s="1"/>
  <c r="AD7" i="4"/>
  <c r="AD6" i="4"/>
  <c r="AD5" i="4"/>
  <c r="X5" i="4"/>
  <c r="Y7" i="4"/>
  <c r="X7" i="4"/>
  <c r="W7" i="4"/>
  <c r="Y6" i="4"/>
  <c r="X6" i="4"/>
  <c r="W6" i="4"/>
  <c r="Y5" i="4"/>
  <c r="W5" i="4"/>
  <c r="Q103" i="4"/>
  <c r="Q104" i="4"/>
  <c r="Q105" i="4"/>
  <c r="Q106" i="4"/>
  <c r="Q107" i="4"/>
  <c r="Q108" i="4"/>
  <c r="Q109" i="4"/>
  <c r="Q110" i="4"/>
  <c r="Q102" i="4"/>
  <c r="P103" i="4"/>
  <c r="P104" i="4"/>
  <c r="P105" i="4"/>
  <c r="P106" i="4"/>
  <c r="P107" i="4"/>
  <c r="P108" i="4"/>
  <c r="P109" i="4"/>
  <c r="P110" i="4"/>
  <c r="P102" i="4"/>
  <c r="E112" i="4"/>
  <c r="F112" i="4"/>
  <c r="G112" i="4"/>
  <c r="H112" i="4"/>
  <c r="I112" i="4"/>
  <c r="J112" i="4"/>
  <c r="K112" i="4"/>
  <c r="L112" i="4"/>
  <c r="M112" i="4"/>
  <c r="N112" i="4"/>
  <c r="O112" i="4"/>
  <c r="E111" i="4"/>
  <c r="F111" i="4"/>
  <c r="G111" i="4"/>
  <c r="H111" i="4"/>
  <c r="I111" i="4"/>
  <c r="J111" i="4"/>
  <c r="K111" i="4"/>
  <c r="L111" i="4"/>
  <c r="M111" i="4"/>
  <c r="N111" i="4"/>
  <c r="O111" i="4"/>
  <c r="D112" i="4"/>
  <c r="D111" i="4"/>
  <c r="Q87" i="4"/>
  <c r="Q88" i="4"/>
  <c r="Q89" i="4"/>
  <c r="Q90" i="4"/>
  <c r="Q91" i="4"/>
  <c r="Q92" i="4"/>
  <c r="Q93" i="4"/>
  <c r="Q94" i="4"/>
  <c r="Q86" i="4"/>
  <c r="P87" i="4"/>
  <c r="P88" i="4"/>
  <c r="P89" i="4"/>
  <c r="P90" i="4"/>
  <c r="P91" i="4"/>
  <c r="P92" i="4"/>
  <c r="P93" i="4"/>
  <c r="P94" i="4"/>
  <c r="P86" i="4"/>
  <c r="E95" i="4"/>
  <c r="F95" i="4"/>
  <c r="G95" i="4"/>
  <c r="H95" i="4"/>
  <c r="I95" i="4"/>
  <c r="J95" i="4"/>
  <c r="K95" i="4"/>
  <c r="L95" i="4"/>
  <c r="M95" i="4"/>
  <c r="N95" i="4"/>
  <c r="O95" i="4"/>
  <c r="E96" i="4"/>
  <c r="F96" i="4"/>
  <c r="G96" i="4"/>
  <c r="H96" i="4"/>
  <c r="I96" i="4"/>
  <c r="J96" i="4"/>
  <c r="K96" i="4"/>
  <c r="L96" i="4"/>
  <c r="M96" i="4"/>
  <c r="N96" i="4"/>
  <c r="O96" i="4"/>
  <c r="D96" i="4"/>
  <c r="D95" i="4"/>
  <c r="Q71" i="4"/>
  <c r="Q72" i="4"/>
  <c r="Q73" i="4"/>
  <c r="Q74" i="4"/>
  <c r="Q75" i="4"/>
  <c r="Q76" i="4"/>
  <c r="Q77" i="4"/>
  <c r="Q78" i="4"/>
  <c r="Q70" i="4"/>
  <c r="P71" i="4"/>
  <c r="P72" i="4"/>
  <c r="P73" i="4"/>
  <c r="P74" i="4"/>
  <c r="P75" i="4"/>
  <c r="P76" i="4"/>
  <c r="P77" i="4"/>
  <c r="P78" i="4"/>
  <c r="P70" i="4"/>
  <c r="E80" i="4"/>
  <c r="F80" i="4"/>
  <c r="G80" i="4"/>
  <c r="H80" i="4"/>
  <c r="I80" i="4"/>
  <c r="J80" i="4"/>
  <c r="K80" i="4"/>
  <c r="L80" i="4"/>
  <c r="M80" i="4"/>
  <c r="N80" i="4"/>
  <c r="O80" i="4"/>
  <c r="E79" i="4"/>
  <c r="F79" i="4"/>
  <c r="G79" i="4"/>
  <c r="H79" i="4"/>
  <c r="I79" i="4"/>
  <c r="J79" i="4"/>
  <c r="K79" i="4"/>
  <c r="L79" i="4"/>
  <c r="M79" i="4"/>
  <c r="N79" i="4"/>
  <c r="O79" i="4"/>
  <c r="D80" i="4"/>
  <c r="D79" i="4"/>
  <c r="Q62" i="4"/>
  <c r="Q55" i="4"/>
  <c r="Q56" i="4"/>
  <c r="Q57" i="4"/>
  <c r="Q58" i="4"/>
  <c r="Q59" i="4"/>
  <c r="Q60" i="4"/>
  <c r="Q61" i="4"/>
  <c r="Q54" i="4"/>
  <c r="P55" i="4"/>
  <c r="P56" i="4"/>
  <c r="P57" i="4"/>
  <c r="P58" i="4"/>
  <c r="P59" i="4"/>
  <c r="P60" i="4"/>
  <c r="P61" i="4"/>
  <c r="P62" i="4"/>
  <c r="P54" i="4"/>
  <c r="E64" i="4"/>
  <c r="F64" i="4"/>
  <c r="G64" i="4"/>
  <c r="H64" i="4"/>
  <c r="I64" i="4"/>
  <c r="J64" i="4"/>
  <c r="K64" i="4"/>
  <c r="L64" i="4"/>
  <c r="M64" i="4"/>
  <c r="N64" i="4"/>
  <c r="O64" i="4"/>
  <c r="E63" i="4"/>
  <c r="F63" i="4"/>
  <c r="G63" i="4"/>
  <c r="H63" i="4"/>
  <c r="I63" i="4"/>
  <c r="J63" i="4"/>
  <c r="K63" i="4"/>
  <c r="L63" i="4"/>
  <c r="M63" i="4"/>
  <c r="N63" i="4"/>
  <c r="O63" i="4"/>
  <c r="D64" i="4"/>
  <c r="D63" i="4"/>
  <c r="Q39" i="4"/>
  <c r="Q40" i="4"/>
  <c r="Q41" i="4"/>
  <c r="Q42" i="4"/>
  <c r="Q43" i="4"/>
  <c r="Q44" i="4"/>
  <c r="Q45" i="4"/>
  <c r="Q46" i="4"/>
  <c r="Q38" i="4"/>
  <c r="P39" i="4"/>
  <c r="P40" i="4"/>
  <c r="P41" i="4"/>
  <c r="P42" i="4"/>
  <c r="P43" i="4"/>
  <c r="P44" i="4"/>
  <c r="P45" i="4"/>
  <c r="P46" i="4"/>
  <c r="P38" i="4"/>
  <c r="E48" i="4"/>
  <c r="F48" i="4"/>
  <c r="G48" i="4"/>
  <c r="H48" i="4"/>
  <c r="I48" i="4"/>
  <c r="J48" i="4"/>
  <c r="K48" i="4"/>
  <c r="L48" i="4"/>
  <c r="M48" i="4"/>
  <c r="N48" i="4"/>
  <c r="O48" i="4"/>
  <c r="E47" i="4"/>
  <c r="F47" i="4"/>
  <c r="G47" i="4"/>
  <c r="H47" i="4"/>
  <c r="I47" i="4"/>
  <c r="J47" i="4"/>
  <c r="K47" i="4"/>
  <c r="L47" i="4"/>
  <c r="M47" i="4"/>
  <c r="N47" i="4"/>
  <c r="O47" i="4"/>
  <c r="D48" i="4"/>
  <c r="D47" i="4"/>
  <c r="Q23" i="4"/>
  <c r="Q24" i="4"/>
  <c r="Q25" i="4"/>
  <c r="Q26" i="4"/>
  <c r="Q27" i="4"/>
  <c r="Q28" i="4"/>
  <c r="Q29" i="4"/>
  <c r="Q30" i="4"/>
  <c r="Q22" i="4"/>
  <c r="P23" i="4"/>
  <c r="P24" i="4"/>
  <c r="P25" i="4"/>
  <c r="P26" i="4"/>
  <c r="P27" i="4"/>
  <c r="P28" i="4"/>
  <c r="P29" i="4"/>
  <c r="P30" i="4"/>
  <c r="P22" i="4"/>
  <c r="E32" i="4"/>
  <c r="F32" i="4"/>
  <c r="G32" i="4"/>
  <c r="H32" i="4"/>
  <c r="I32" i="4"/>
  <c r="J32" i="4"/>
  <c r="K32" i="4"/>
  <c r="L32" i="4"/>
  <c r="M32" i="4"/>
  <c r="N32" i="4"/>
  <c r="O32" i="4"/>
  <c r="E31" i="4"/>
  <c r="F31" i="4"/>
  <c r="G31" i="4"/>
  <c r="H31" i="4"/>
  <c r="I31" i="4"/>
  <c r="J31" i="4"/>
  <c r="K31" i="4"/>
  <c r="L31" i="4"/>
  <c r="M31" i="4"/>
  <c r="N31" i="4"/>
  <c r="O31" i="4"/>
  <c r="D32" i="4"/>
  <c r="D31" i="4"/>
  <c r="Q7" i="4"/>
  <c r="Q8" i="4"/>
  <c r="Q9" i="4"/>
  <c r="Q10" i="4"/>
  <c r="Q11" i="4"/>
  <c r="Q12" i="4"/>
  <c r="Q13" i="4"/>
  <c r="Q14" i="4"/>
  <c r="Q6" i="4"/>
  <c r="P7" i="4"/>
  <c r="P8" i="4"/>
  <c r="P9" i="4"/>
  <c r="P10" i="4"/>
  <c r="P11" i="4"/>
  <c r="P12" i="4"/>
  <c r="P13" i="4"/>
  <c r="P14" i="4"/>
  <c r="P6" i="4"/>
  <c r="E16" i="4"/>
  <c r="F16" i="4"/>
  <c r="G16" i="4"/>
  <c r="H16" i="4"/>
  <c r="I16" i="4"/>
  <c r="J16" i="4"/>
  <c r="K16" i="4"/>
  <c r="L16" i="4"/>
  <c r="M16" i="4"/>
  <c r="N16" i="4"/>
  <c r="O16" i="4"/>
  <c r="E15" i="4"/>
  <c r="F15" i="4"/>
  <c r="G15" i="4"/>
  <c r="H15" i="4"/>
  <c r="I15" i="4"/>
  <c r="J15" i="4"/>
  <c r="K15" i="4"/>
  <c r="L15" i="4"/>
  <c r="M15" i="4"/>
  <c r="N15" i="4"/>
  <c r="O15" i="4"/>
  <c r="D16" i="4"/>
  <c r="D15" i="4"/>
  <c r="P23" i="2"/>
  <c r="P24" i="2"/>
  <c r="P25" i="2"/>
  <c r="P26" i="2"/>
  <c r="P27" i="2"/>
  <c r="P28" i="2"/>
  <c r="P29" i="2"/>
  <c r="P30" i="2"/>
  <c r="P135" i="2"/>
  <c r="P136" i="2"/>
  <c r="P137" i="2"/>
  <c r="P138" i="2"/>
  <c r="P139" i="2"/>
  <c r="P140" i="2"/>
  <c r="P141" i="2"/>
  <c r="P142" i="2"/>
  <c r="P134" i="2"/>
  <c r="E144" i="2"/>
  <c r="F144" i="2"/>
  <c r="G144" i="2"/>
  <c r="H144" i="2"/>
  <c r="I144" i="2"/>
  <c r="J144" i="2"/>
  <c r="K144" i="2"/>
  <c r="L144" i="2"/>
  <c r="M144" i="2"/>
  <c r="N144" i="2"/>
  <c r="O144" i="2"/>
  <c r="E143" i="2"/>
  <c r="F143" i="2"/>
  <c r="G143" i="2"/>
  <c r="H143" i="2"/>
  <c r="I143" i="2"/>
  <c r="J143" i="2"/>
  <c r="K143" i="2"/>
  <c r="L143" i="2"/>
  <c r="M143" i="2"/>
  <c r="N143" i="2"/>
  <c r="O143" i="2"/>
  <c r="D144" i="2"/>
  <c r="D143" i="2"/>
  <c r="P119" i="2"/>
  <c r="P120" i="2"/>
  <c r="P121" i="2"/>
  <c r="P122" i="2"/>
  <c r="P123" i="2"/>
  <c r="P124" i="2"/>
  <c r="P125" i="2"/>
  <c r="P126" i="2"/>
  <c r="P118" i="2"/>
  <c r="E128" i="2"/>
  <c r="F128" i="2"/>
  <c r="G128" i="2"/>
  <c r="H128" i="2"/>
  <c r="I128" i="2"/>
  <c r="J128" i="2"/>
  <c r="K128" i="2"/>
  <c r="L128" i="2"/>
  <c r="M128" i="2"/>
  <c r="N128" i="2"/>
  <c r="O128" i="2"/>
  <c r="E127" i="2"/>
  <c r="F127" i="2"/>
  <c r="G127" i="2"/>
  <c r="H127" i="2"/>
  <c r="I127" i="2"/>
  <c r="J127" i="2"/>
  <c r="K127" i="2"/>
  <c r="L127" i="2"/>
  <c r="M127" i="2"/>
  <c r="N127" i="2"/>
  <c r="O127" i="2"/>
  <c r="D128" i="2"/>
  <c r="D127" i="2"/>
  <c r="P103" i="2"/>
  <c r="P104" i="2"/>
  <c r="P105" i="2"/>
  <c r="P106" i="2"/>
  <c r="P107" i="2"/>
  <c r="P108" i="2"/>
  <c r="P109" i="2"/>
  <c r="P110" i="2"/>
  <c r="P102" i="2"/>
  <c r="E112" i="2"/>
  <c r="F112" i="2"/>
  <c r="G112" i="2"/>
  <c r="H112" i="2"/>
  <c r="I112" i="2"/>
  <c r="J112" i="2"/>
  <c r="K112" i="2"/>
  <c r="L112" i="2"/>
  <c r="M112" i="2"/>
  <c r="N112" i="2"/>
  <c r="O112" i="2"/>
  <c r="E111" i="2"/>
  <c r="F111" i="2"/>
  <c r="G111" i="2"/>
  <c r="H111" i="2"/>
  <c r="I111" i="2"/>
  <c r="J111" i="2"/>
  <c r="K111" i="2"/>
  <c r="L111" i="2"/>
  <c r="M111" i="2"/>
  <c r="N111" i="2"/>
  <c r="O111" i="2"/>
  <c r="D112" i="2"/>
  <c r="D111" i="2"/>
  <c r="P87" i="2"/>
  <c r="P88" i="2"/>
  <c r="P89" i="2"/>
  <c r="P90" i="2"/>
  <c r="P91" i="2"/>
  <c r="P92" i="2"/>
  <c r="P93" i="2"/>
  <c r="P94" i="2"/>
  <c r="P86" i="2"/>
  <c r="E96" i="2"/>
  <c r="F96" i="2"/>
  <c r="G96" i="2"/>
  <c r="H96" i="2"/>
  <c r="I96" i="2"/>
  <c r="J96" i="2"/>
  <c r="K96" i="2"/>
  <c r="L96" i="2"/>
  <c r="M96" i="2"/>
  <c r="N96" i="2"/>
  <c r="O96" i="2"/>
  <c r="E95" i="2"/>
  <c r="F95" i="2"/>
  <c r="G95" i="2"/>
  <c r="H95" i="2"/>
  <c r="I95" i="2"/>
  <c r="J95" i="2"/>
  <c r="K95" i="2"/>
  <c r="L95" i="2"/>
  <c r="M95" i="2"/>
  <c r="N95" i="2"/>
  <c r="O95" i="2"/>
  <c r="D96" i="2"/>
  <c r="D95" i="2"/>
  <c r="P71" i="2"/>
  <c r="P72" i="2"/>
  <c r="P73" i="2"/>
  <c r="P74" i="2"/>
  <c r="P75" i="2"/>
  <c r="P76" i="2"/>
  <c r="P77" i="2"/>
  <c r="P78" i="2"/>
  <c r="P70" i="2"/>
  <c r="E80" i="2"/>
  <c r="F80" i="2"/>
  <c r="G80" i="2"/>
  <c r="H80" i="2"/>
  <c r="I80" i="2"/>
  <c r="J80" i="2"/>
  <c r="K80" i="2"/>
  <c r="L80" i="2"/>
  <c r="M80" i="2"/>
  <c r="N80" i="2"/>
  <c r="O80" i="2"/>
  <c r="E79" i="2"/>
  <c r="F79" i="2"/>
  <c r="G79" i="2"/>
  <c r="H79" i="2"/>
  <c r="I79" i="2"/>
  <c r="J79" i="2"/>
  <c r="K79" i="2"/>
  <c r="L79" i="2"/>
  <c r="M79" i="2"/>
  <c r="N79" i="2"/>
  <c r="O79" i="2"/>
  <c r="D80" i="2"/>
  <c r="D79" i="2"/>
  <c r="P55" i="2"/>
  <c r="P56" i="2"/>
  <c r="P57" i="2"/>
  <c r="P58" i="2"/>
  <c r="P59" i="2"/>
  <c r="P60" i="2"/>
  <c r="P61" i="2"/>
  <c r="P62" i="2"/>
  <c r="P54" i="2"/>
  <c r="E64" i="2"/>
  <c r="F64" i="2"/>
  <c r="G64" i="2"/>
  <c r="H64" i="2"/>
  <c r="I64" i="2"/>
  <c r="J64" i="2"/>
  <c r="K64" i="2"/>
  <c r="L64" i="2"/>
  <c r="M64" i="2"/>
  <c r="N64" i="2"/>
  <c r="O64" i="2"/>
  <c r="E63" i="2"/>
  <c r="F63" i="2"/>
  <c r="G63" i="2"/>
  <c r="H63" i="2"/>
  <c r="I63" i="2"/>
  <c r="J63" i="2"/>
  <c r="K63" i="2"/>
  <c r="L63" i="2"/>
  <c r="M63" i="2"/>
  <c r="N63" i="2"/>
  <c r="O63" i="2"/>
  <c r="D64" i="2"/>
  <c r="D63" i="2"/>
  <c r="P40" i="2"/>
  <c r="P39" i="2"/>
  <c r="P41" i="2"/>
  <c r="P42" i="2"/>
  <c r="P43" i="2"/>
  <c r="P44" i="2"/>
  <c r="P45" i="2"/>
  <c r="P46" i="2"/>
  <c r="P38" i="2"/>
  <c r="E48" i="2"/>
  <c r="F48" i="2"/>
  <c r="G48" i="2"/>
  <c r="H48" i="2"/>
  <c r="I48" i="2"/>
  <c r="J48" i="2"/>
  <c r="K48" i="2"/>
  <c r="L48" i="2"/>
  <c r="M48" i="2"/>
  <c r="N48" i="2"/>
  <c r="O48" i="2"/>
  <c r="D48" i="2"/>
  <c r="E47" i="2"/>
  <c r="F47" i="2"/>
  <c r="G47" i="2"/>
  <c r="H47" i="2"/>
  <c r="I47" i="2"/>
  <c r="J47" i="2"/>
  <c r="K47" i="2"/>
  <c r="L47" i="2"/>
  <c r="M47" i="2"/>
  <c r="N47" i="2"/>
  <c r="O47" i="2"/>
  <c r="D47" i="2"/>
  <c r="E32" i="2"/>
  <c r="F32" i="2"/>
  <c r="G32" i="2"/>
  <c r="H32" i="2"/>
  <c r="I32" i="2"/>
  <c r="J32" i="2"/>
  <c r="K32" i="2"/>
  <c r="L32" i="2"/>
  <c r="M32" i="2"/>
  <c r="N32" i="2"/>
  <c r="O32" i="2"/>
  <c r="E31" i="2"/>
  <c r="F31" i="2"/>
  <c r="G31" i="2"/>
  <c r="H31" i="2"/>
  <c r="I31" i="2"/>
  <c r="J31" i="2"/>
  <c r="K31" i="2"/>
  <c r="L31" i="2"/>
  <c r="M31" i="2"/>
  <c r="N31" i="2"/>
  <c r="O31" i="2"/>
  <c r="P22" i="2"/>
  <c r="D32" i="2"/>
  <c r="D31" i="2"/>
  <c r="P7" i="2"/>
  <c r="P8" i="2"/>
  <c r="P9" i="2"/>
  <c r="P10" i="2"/>
  <c r="P11" i="2"/>
  <c r="P12" i="2"/>
  <c r="P13" i="2"/>
  <c r="P14" i="2"/>
  <c r="E16" i="2"/>
  <c r="F16" i="2"/>
  <c r="G16" i="2"/>
  <c r="H16" i="2"/>
  <c r="I16" i="2"/>
  <c r="J16" i="2"/>
  <c r="K16" i="2"/>
  <c r="L16" i="2"/>
  <c r="M16" i="2"/>
  <c r="N16" i="2"/>
  <c r="O16" i="2"/>
  <c r="E15" i="2"/>
  <c r="F15" i="2"/>
  <c r="G15" i="2"/>
  <c r="H15" i="2"/>
  <c r="I15" i="2"/>
  <c r="J15" i="2"/>
  <c r="K15" i="2"/>
  <c r="L15" i="2"/>
  <c r="M15" i="2"/>
  <c r="N15" i="2"/>
  <c r="O15" i="2"/>
  <c r="P6" i="2"/>
  <c r="D16" i="2"/>
  <c r="D15" i="2"/>
  <c r="Q126" i="5"/>
  <c r="Q127" i="5"/>
  <c r="Q128" i="5"/>
  <c r="Q129" i="5"/>
  <c r="Q130" i="5"/>
  <c r="Q131" i="5"/>
  <c r="Q132" i="5"/>
  <c r="Q133" i="5"/>
  <c r="P126" i="5"/>
  <c r="P127" i="5"/>
  <c r="P128" i="5"/>
  <c r="P129" i="5"/>
  <c r="P130" i="5"/>
  <c r="P131" i="5"/>
  <c r="P132" i="5"/>
  <c r="P133" i="5"/>
  <c r="E135" i="5"/>
  <c r="F135" i="5"/>
  <c r="G135" i="5"/>
  <c r="H135" i="5"/>
  <c r="I135" i="5"/>
  <c r="J135" i="5"/>
  <c r="K135" i="5"/>
  <c r="L135" i="5"/>
  <c r="M135" i="5"/>
  <c r="N135" i="5"/>
  <c r="O135" i="5"/>
  <c r="E134" i="5"/>
  <c r="F134" i="5"/>
  <c r="G134" i="5"/>
  <c r="H134" i="5"/>
  <c r="I134" i="5"/>
  <c r="J134" i="5"/>
  <c r="K134" i="5"/>
  <c r="L134" i="5"/>
  <c r="M134" i="5"/>
  <c r="N134" i="5"/>
  <c r="O134" i="5"/>
  <c r="Q125" i="5"/>
  <c r="P125" i="5"/>
  <c r="D135" i="5"/>
  <c r="D134" i="5"/>
  <c r="E120" i="5"/>
  <c r="F120" i="5"/>
  <c r="G120" i="5"/>
  <c r="H120" i="5"/>
  <c r="I120" i="5"/>
  <c r="J120" i="5"/>
  <c r="K120" i="5"/>
  <c r="L120" i="5"/>
  <c r="M120" i="5"/>
  <c r="N120" i="5"/>
  <c r="O120" i="5"/>
  <c r="Q111" i="5"/>
  <c r="Q112" i="5"/>
  <c r="Q113" i="5"/>
  <c r="Q114" i="5"/>
  <c r="Q115" i="5"/>
  <c r="Q116" i="5"/>
  <c r="Q117" i="5"/>
  <c r="Q118" i="5"/>
  <c r="P111" i="5"/>
  <c r="P112" i="5"/>
  <c r="P113" i="5"/>
  <c r="P114" i="5"/>
  <c r="P115" i="5"/>
  <c r="P116" i="5"/>
  <c r="P117" i="5"/>
  <c r="P118" i="5"/>
  <c r="E119" i="5"/>
  <c r="F119" i="5"/>
  <c r="G119" i="5"/>
  <c r="H119" i="5"/>
  <c r="I119" i="5"/>
  <c r="J119" i="5"/>
  <c r="K119" i="5"/>
  <c r="L119" i="5"/>
  <c r="M119" i="5"/>
  <c r="N119" i="5"/>
  <c r="O119" i="5"/>
  <c r="Q110" i="5"/>
  <c r="D120" i="5"/>
  <c r="P110" i="5"/>
  <c r="D119" i="5"/>
  <c r="Q96" i="5"/>
  <c r="Q97" i="5"/>
  <c r="Q98" i="5"/>
  <c r="Q99" i="5"/>
  <c r="Q100" i="5"/>
  <c r="Q101" i="5"/>
  <c r="Q102" i="5"/>
  <c r="Q103" i="5"/>
  <c r="Q95" i="5"/>
  <c r="E105" i="5"/>
  <c r="F105" i="5"/>
  <c r="G105" i="5"/>
  <c r="H105" i="5"/>
  <c r="I105" i="5"/>
  <c r="J105" i="5"/>
  <c r="K105" i="5"/>
  <c r="L105" i="5"/>
  <c r="M105" i="5"/>
  <c r="N105" i="5"/>
  <c r="O105" i="5"/>
  <c r="D105" i="5"/>
  <c r="P96" i="5"/>
  <c r="P97" i="5"/>
  <c r="P98" i="5"/>
  <c r="P99" i="5"/>
  <c r="P100" i="5"/>
  <c r="P101" i="5"/>
  <c r="P102" i="5"/>
  <c r="P103" i="5"/>
  <c r="E104" i="5"/>
  <c r="F104" i="5"/>
  <c r="G104" i="5"/>
  <c r="H104" i="5"/>
  <c r="I104" i="5"/>
  <c r="J104" i="5"/>
  <c r="K104" i="5"/>
  <c r="L104" i="5"/>
  <c r="M104" i="5"/>
  <c r="N104" i="5"/>
  <c r="O104" i="5"/>
  <c r="P95" i="5"/>
  <c r="D104" i="5"/>
  <c r="Q81" i="5"/>
  <c r="Q82" i="5"/>
  <c r="Q83" i="5"/>
  <c r="Q84" i="5"/>
  <c r="Q85" i="5"/>
  <c r="Q86" i="5"/>
  <c r="Q87" i="5"/>
  <c r="Q88" i="5"/>
  <c r="Q80" i="5"/>
  <c r="P81" i="5"/>
  <c r="P82" i="5"/>
  <c r="P83" i="5"/>
  <c r="P84" i="5"/>
  <c r="P85" i="5"/>
  <c r="P86" i="5"/>
  <c r="P87" i="5"/>
  <c r="P88" i="5"/>
  <c r="P80" i="5"/>
  <c r="E90" i="5"/>
  <c r="F90" i="5"/>
  <c r="G90" i="5"/>
  <c r="H90" i="5"/>
  <c r="I90" i="5"/>
  <c r="J90" i="5"/>
  <c r="K90" i="5"/>
  <c r="L90" i="5"/>
  <c r="M90" i="5"/>
  <c r="N90" i="5"/>
  <c r="O90" i="5"/>
  <c r="D90" i="5"/>
  <c r="E89" i="5"/>
  <c r="F89" i="5"/>
  <c r="G89" i="5"/>
  <c r="H89" i="5"/>
  <c r="I89" i="5"/>
  <c r="J89" i="5"/>
  <c r="K89" i="5"/>
  <c r="L89" i="5"/>
  <c r="M89" i="5"/>
  <c r="N89" i="5"/>
  <c r="O89" i="5"/>
  <c r="D89" i="5"/>
  <c r="Q66" i="5"/>
  <c r="Q67" i="5"/>
  <c r="Q68" i="5"/>
  <c r="Q69" i="5"/>
  <c r="Q70" i="5"/>
  <c r="Q71" i="5"/>
  <c r="Q72" i="5"/>
  <c r="Q73" i="5"/>
  <c r="Q65" i="5"/>
  <c r="E75" i="5"/>
  <c r="F75" i="5"/>
  <c r="G75" i="5"/>
  <c r="H75" i="5"/>
  <c r="I75" i="5"/>
  <c r="J75" i="5"/>
  <c r="K75" i="5"/>
  <c r="L75" i="5"/>
  <c r="M75" i="5"/>
  <c r="N75" i="5"/>
  <c r="O75" i="5"/>
  <c r="D75" i="5"/>
  <c r="P66" i="5"/>
  <c r="P67" i="5"/>
  <c r="P68" i="5"/>
  <c r="P69" i="5"/>
  <c r="P70" i="5"/>
  <c r="P71" i="5"/>
  <c r="P72" i="5"/>
  <c r="P73" i="5"/>
  <c r="P65" i="5"/>
  <c r="E74" i="5"/>
  <c r="F74" i="5"/>
  <c r="G74" i="5"/>
  <c r="H74" i="5"/>
  <c r="I74" i="5"/>
  <c r="J74" i="5"/>
  <c r="K74" i="5"/>
  <c r="L74" i="5"/>
  <c r="M74" i="5"/>
  <c r="N74" i="5"/>
  <c r="O74" i="5"/>
  <c r="D74" i="5"/>
  <c r="E60" i="5"/>
  <c r="F60" i="5"/>
  <c r="G60" i="5"/>
  <c r="H60" i="5"/>
  <c r="I60" i="5"/>
  <c r="J60" i="5"/>
  <c r="K60" i="5"/>
  <c r="L60" i="5"/>
  <c r="M60" i="5"/>
  <c r="N60" i="5"/>
  <c r="O60" i="5"/>
  <c r="D60" i="5"/>
  <c r="Q51" i="5"/>
  <c r="Q52" i="5"/>
  <c r="Q53" i="5"/>
  <c r="Q54" i="5"/>
  <c r="Q55" i="5"/>
  <c r="Q56" i="5"/>
  <c r="Q57" i="5"/>
  <c r="Q58" i="5"/>
  <c r="Q50" i="5"/>
  <c r="P51" i="5"/>
  <c r="P52" i="5"/>
  <c r="P53" i="5"/>
  <c r="P54" i="5"/>
  <c r="P55" i="5"/>
  <c r="P56" i="5"/>
  <c r="P57" i="5"/>
  <c r="P58" i="5"/>
  <c r="P50" i="5"/>
  <c r="E59" i="5"/>
  <c r="F59" i="5"/>
  <c r="G59" i="5"/>
  <c r="H59" i="5"/>
  <c r="I59" i="5"/>
  <c r="J59" i="5"/>
  <c r="K59" i="5"/>
  <c r="L59" i="5"/>
  <c r="M59" i="5"/>
  <c r="N59" i="5"/>
  <c r="O59" i="5"/>
  <c r="D59" i="5"/>
  <c r="E45" i="5"/>
  <c r="F45" i="5"/>
  <c r="G45" i="5"/>
  <c r="H45" i="5"/>
  <c r="I45" i="5"/>
  <c r="J45" i="5"/>
  <c r="K45" i="5"/>
  <c r="L45" i="5"/>
  <c r="M45" i="5"/>
  <c r="N45" i="5"/>
  <c r="O45" i="5"/>
  <c r="D45" i="5"/>
  <c r="P36" i="5"/>
  <c r="Q36" i="5" s="1"/>
  <c r="P37" i="5"/>
  <c r="Q37" i="5" s="1"/>
  <c r="P38" i="5"/>
  <c r="Q38" i="5" s="1"/>
  <c r="P39" i="5"/>
  <c r="Q39" i="5" s="1"/>
  <c r="P40" i="5"/>
  <c r="Q40" i="5" s="1"/>
  <c r="P41" i="5"/>
  <c r="Q41" i="5" s="1"/>
  <c r="P42" i="5"/>
  <c r="Q42" i="5" s="1"/>
  <c r="P43" i="5"/>
  <c r="Q43" i="5" s="1"/>
  <c r="P35" i="5"/>
  <c r="Q35" i="5" s="1"/>
  <c r="E44" i="5"/>
  <c r="F44" i="5"/>
  <c r="G44" i="5"/>
  <c r="H44" i="5"/>
  <c r="I44" i="5"/>
  <c r="J44" i="5"/>
  <c r="K44" i="5"/>
  <c r="L44" i="5"/>
  <c r="M44" i="5"/>
  <c r="N44" i="5"/>
  <c r="O44" i="5"/>
  <c r="D44" i="5"/>
  <c r="E30" i="5"/>
  <c r="F30" i="5"/>
  <c r="G30" i="5"/>
  <c r="H30" i="5"/>
  <c r="I30" i="5"/>
  <c r="J30" i="5"/>
  <c r="K30" i="5"/>
  <c r="L30" i="5"/>
  <c r="M30" i="5"/>
  <c r="N30" i="5"/>
  <c r="O30" i="5"/>
  <c r="D30" i="5"/>
  <c r="Q21" i="5"/>
  <c r="Q22" i="5"/>
  <c r="Q23" i="5"/>
  <c r="Q24" i="5"/>
  <c r="Q25" i="5"/>
  <c r="Q26" i="5"/>
  <c r="Q27" i="5"/>
  <c r="Q28" i="5"/>
  <c r="P21" i="5"/>
  <c r="P22" i="5"/>
  <c r="P23" i="5"/>
  <c r="P24" i="5"/>
  <c r="P25" i="5"/>
  <c r="P26" i="5"/>
  <c r="P27" i="5"/>
  <c r="P28" i="5"/>
  <c r="P20" i="5"/>
  <c r="E29" i="5"/>
  <c r="F29" i="5"/>
  <c r="G29" i="5"/>
  <c r="H29" i="5"/>
  <c r="I29" i="5"/>
  <c r="J29" i="5"/>
  <c r="K29" i="5"/>
  <c r="L29" i="5"/>
  <c r="M29" i="5"/>
  <c r="N29" i="5"/>
  <c r="O29" i="5"/>
  <c r="D29" i="5"/>
  <c r="E15" i="5"/>
  <c r="F15" i="5"/>
  <c r="G15" i="5"/>
  <c r="H15" i="5"/>
  <c r="I15" i="5"/>
  <c r="J15" i="5"/>
  <c r="K15" i="5"/>
  <c r="L15" i="5"/>
  <c r="M15" i="5"/>
  <c r="N15" i="5"/>
  <c r="O15" i="5"/>
  <c r="D15" i="5"/>
  <c r="Q6" i="5"/>
  <c r="Q7" i="5"/>
  <c r="Q8" i="5"/>
  <c r="Q9" i="5"/>
  <c r="Q10" i="5"/>
  <c r="Q11" i="5"/>
  <c r="Q12" i="5"/>
  <c r="Q13" i="5"/>
  <c r="Q5" i="5"/>
  <c r="E14" i="5"/>
  <c r="F14" i="5"/>
  <c r="G14" i="5"/>
  <c r="H14" i="5"/>
  <c r="I14" i="5"/>
  <c r="J14" i="5"/>
  <c r="K14" i="5"/>
  <c r="L14" i="5"/>
  <c r="M14" i="5"/>
  <c r="N14" i="5"/>
  <c r="O14" i="5"/>
  <c r="D14" i="5"/>
  <c r="P6" i="5"/>
  <c r="P7" i="5"/>
  <c r="P8" i="5"/>
  <c r="P9" i="5"/>
  <c r="P10" i="5"/>
  <c r="P11" i="5"/>
  <c r="P12" i="5"/>
  <c r="P13" i="5"/>
  <c r="P5" i="5"/>
  <c r="Y53" i="6" l="1"/>
  <c r="W83" i="6"/>
  <c r="AI52" i="6"/>
  <c r="X52" i="6"/>
  <c r="W52" i="6"/>
  <c r="AA36" i="6"/>
  <c r="Y98" i="6"/>
  <c r="AI22" i="6"/>
  <c r="W68" i="6"/>
  <c r="W22" i="6"/>
  <c r="AA51" i="6"/>
  <c r="AI65" i="6"/>
  <c r="AI97" i="6"/>
  <c r="AH66" i="6"/>
  <c r="AH24" i="2"/>
  <c r="Y72" i="4"/>
  <c r="W105" i="4"/>
  <c r="X25" i="2"/>
  <c r="X24" i="2"/>
  <c r="AI21" i="2"/>
  <c r="AH21" i="2"/>
  <c r="AI86" i="2"/>
  <c r="AH86" i="2"/>
  <c r="AA103" i="4"/>
  <c r="W137" i="2"/>
  <c r="AA134" i="2"/>
  <c r="X88" i="4"/>
  <c r="W41" i="2"/>
  <c r="Z37" i="2"/>
  <c r="W105" i="2"/>
  <c r="AA119" i="2"/>
  <c r="Z119" i="2"/>
  <c r="X9" i="2"/>
  <c r="AA6" i="2"/>
  <c r="X40" i="2"/>
  <c r="X41" i="2"/>
  <c r="W104" i="2"/>
  <c r="AI37" i="2"/>
  <c r="AH37" i="2"/>
  <c r="AA96" i="6"/>
  <c r="W97" i="6"/>
  <c r="AI21" i="4"/>
  <c r="Y41" i="2"/>
  <c r="Y105" i="2"/>
  <c r="W121" i="2"/>
  <c r="AI87" i="2"/>
  <c r="AH87" i="2"/>
  <c r="W41" i="4"/>
  <c r="X56" i="4"/>
  <c r="Z22" i="2"/>
  <c r="Y88" i="2"/>
  <c r="Y136" i="2"/>
  <c r="AI69" i="2"/>
  <c r="AH69" i="2"/>
  <c r="W73" i="2"/>
  <c r="AA69" i="2"/>
  <c r="Z87" i="2"/>
  <c r="AA87" i="2"/>
  <c r="X137" i="2"/>
  <c r="AA23" i="2"/>
  <c r="AA55" i="2"/>
  <c r="Y72" i="2"/>
  <c r="Z102" i="2"/>
  <c r="AA117" i="2"/>
  <c r="AH53" i="2"/>
  <c r="AI71" i="2"/>
  <c r="AI136" i="2"/>
  <c r="P89" i="6"/>
  <c r="T81" i="6" s="1"/>
  <c r="T82" i="6" s="1"/>
  <c r="AE84" i="6" s="1"/>
  <c r="Y37" i="6"/>
  <c r="AI67" i="6"/>
  <c r="AI81" i="6"/>
  <c r="AH102" i="2"/>
  <c r="Z5" i="6"/>
  <c r="P44" i="6"/>
  <c r="T36" i="6" s="1"/>
  <c r="P104" i="6"/>
  <c r="T96" i="6" s="1"/>
  <c r="AI7" i="4"/>
  <c r="AA54" i="4"/>
  <c r="W9" i="2"/>
  <c r="AA38" i="2"/>
  <c r="W89" i="2"/>
  <c r="Y121" i="2"/>
  <c r="AI56" i="2"/>
  <c r="AI103" i="2"/>
  <c r="P14" i="6"/>
  <c r="T6" i="6" s="1"/>
  <c r="T8" i="6" s="1"/>
  <c r="AE4" i="6" s="1"/>
  <c r="AF4" i="6" s="1"/>
  <c r="P59" i="6"/>
  <c r="T51" i="6" s="1"/>
  <c r="X98" i="6"/>
  <c r="AA55" i="4"/>
  <c r="AI72" i="4"/>
  <c r="X8" i="2"/>
  <c r="Z21" i="2"/>
  <c r="X56" i="2"/>
  <c r="Y57" i="2"/>
  <c r="X89" i="2"/>
  <c r="AA102" i="2"/>
  <c r="AA118" i="2"/>
  <c r="AA135" i="2"/>
  <c r="AI8" i="2"/>
  <c r="AH72" i="2"/>
  <c r="AH85" i="2"/>
  <c r="Y68" i="5"/>
  <c r="AI19" i="5"/>
  <c r="AH109" i="5"/>
  <c r="X67" i="6"/>
  <c r="Z67" i="6" s="1"/>
  <c r="X97" i="6"/>
  <c r="AA97" i="6" s="1"/>
  <c r="AI66" i="6"/>
  <c r="AH118" i="2"/>
  <c r="AI134" i="2"/>
  <c r="X7" i="6"/>
  <c r="AH4" i="6"/>
  <c r="AI51" i="6"/>
  <c r="AH94" i="6"/>
  <c r="AI6" i="2"/>
  <c r="AI40" i="2"/>
  <c r="AH103" i="2"/>
  <c r="AH5" i="4"/>
  <c r="X41" i="4"/>
  <c r="Y105" i="4"/>
  <c r="AI38" i="4"/>
  <c r="Y25" i="2"/>
  <c r="AA39" i="2"/>
  <c r="X57" i="2"/>
  <c r="Y137" i="2"/>
  <c r="AI72" i="2"/>
  <c r="AI85" i="2"/>
  <c r="AH101" i="2"/>
  <c r="AH104" i="2"/>
  <c r="AI135" i="2"/>
  <c r="Y8" i="6"/>
  <c r="X38" i="6"/>
  <c r="Y82" i="6"/>
  <c r="AI5" i="6"/>
  <c r="AI36" i="6"/>
  <c r="AH79" i="6"/>
  <c r="AI95" i="6"/>
  <c r="AA5" i="6"/>
  <c r="P29" i="6"/>
  <c r="T21" i="6" s="1"/>
  <c r="T23" i="6" s="1"/>
  <c r="AE19" i="6" s="1"/>
  <c r="AF19" i="6" s="1"/>
  <c r="P74" i="6"/>
  <c r="T66" i="6" s="1"/>
  <c r="T68" i="6" s="1"/>
  <c r="AE64" i="6" s="1"/>
  <c r="AF64" i="6" s="1"/>
  <c r="AI21" i="6"/>
  <c r="AH64" i="6"/>
  <c r="AI80" i="6"/>
  <c r="AH34" i="5"/>
  <c r="Y7" i="6"/>
  <c r="Y23" i="6"/>
  <c r="X22" i="6"/>
  <c r="Z22" i="6" s="1"/>
  <c r="X68" i="6"/>
  <c r="W67" i="6"/>
  <c r="AA81" i="6"/>
  <c r="AH7" i="6"/>
  <c r="AI19" i="6"/>
  <c r="AH22" i="6"/>
  <c r="W38" i="6"/>
  <c r="Y52" i="6"/>
  <c r="Z52" i="6" s="1"/>
  <c r="Y68" i="6"/>
  <c r="AI4" i="6"/>
  <c r="AH20" i="6"/>
  <c r="AI34" i="6"/>
  <c r="AH37" i="6"/>
  <c r="AI49" i="6"/>
  <c r="AH52" i="6"/>
  <c r="AI64" i="6"/>
  <c r="AH67" i="6"/>
  <c r="AI79" i="6"/>
  <c r="AH82" i="6"/>
  <c r="AI94" i="6"/>
  <c r="AH97" i="6"/>
  <c r="W37" i="6"/>
  <c r="Y97" i="6"/>
  <c r="AA20" i="6"/>
  <c r="Y38" i="6"/>
  <c r="X37" i="6"/>
  <c r="X83" i="6"/>
  <c r="W82" i="6"/>
  <c r="AA21" i="6"/>
  <c r="W53" i="6"/>
  <c r="Y67" i="6"/>
  <c r="Y83" i="6"/>
  <c r="X82" i="6"/>
  <c r="AA6" i="6"/>
  <c r="X53" i="6"/>
  <c r="AA66" i="6"/>
  <c r="W98" i="6"/>
  <c r="AA19" i="6"/>
  <c r="AI70" i="4"/>
  <c r="W57" i="4"/>
  <c r="W73" i="4"/>
  <c r="Y88" i="4"/>
  <c r="Y89" i="4"/>
  <c r="AI23" i="4"/>
  <c r="AI71" i="4"/>
  <c r="W40" i="4"/>
  <c r="AA69" i="4"/>
  <c r="Z87" i="4"/>
  <c r="W25" i="4"/>
  <c r="AA38" i="4"/>
  <c r="X57" i="4"/>
  <c r="W56" i="4"/>
  <c r="Z85" i="4"/>
  <c r="AH38" i="4"/>
  <c r="AI55" i="4"/>
  <c r="AH86" i="4"/>
  <c r="AH72" i="4"/>
  <c r="AI85" i="4"/>
  <c r="AH102" i="4"/>
  <c r="AA22" i="4"/>
  <c r="AI5" i="4"/>
  <c r="W24" i="4"/>
  <c r="Y57" i="4"/>
  <c r="AI24" i="4"/>
  <c r="W9" i="4"/>
  <c r="AI6" i="4"/>
  <c r="Y25" i="4"/>
  <c r="Y24" i="4"/>
  <c r="Z39" i="4"/>
  <c r="W89" i="4"/>
  <c r="Z103" i="4"/>
  <c r="AI56" i="4"/>
  <c r="AH69" i="4"/>
  <c r="AI87" i="4"/>
  <c r="Z69" i="4"/>
  <c r="AI22" i="4"/>
  <c r="X25" i="4"/>
  <c r="Y41" i="4"/>
  <c r="X105" i="4"/>
  <c r="X72" i="4"/>
  <c r="X73" i="4"/>
  <c r="Z102" i="4"/>
  <c r="AI39" i="4"/>
  <c r="AI53" i="4"/>
  <c r="AH101" i="4"/>
  <c r="AI103" i="4"/>
  <c r="AH54" i="4"/>
  <c r="AH70" i="4"/>
  <c r="AI88" i="4"/>
  <c r="Y73" i="4"/>
  <c r="AA34" i="5"/>
  <c r="Z110" i="5"/>
  <c r="AI5" i="5"/>
  <c r="AI65" i="5"/>
  <c r="AI110" i="5"/>
  <c r="AI34" i="5"/>
  <c r="AH111" i="5"/>
  <c r="AI95" i="5"/>
  <c r="X67" i="5"/>
  <c r="AI97" i="5"/>
  <c r="X37" i="5"/>
  <c r="Z81" i="5"/>
  <c r="AI125" i="5"/>
  <c r="AA49" i="5"/>
  <c r="AI7" i="5"/>
  <c r="AH67" i="5"/>
  <c r="AI109" i="5"/>
  <c r="AH126" i="5"/>
  <c r="AI124" i="5"/>
  <c r="AA6" i="5"/>
  <c r="W67" i="5"/>
  <c r="Y83" i="5"/>
  <c r="AA124" i="5"/>
  <c r="AA4" i="5"/>
  <c r="Z51" i="5"/>
  <c r="AI64" i="5"/>
  <c r="AI94" i="5"/>
  <c r="Y37" i="5"/>
  <c r="AH19" i="5"/>
  <c r="Z34" i="5"/>
  <c r="W53" i="5"/>
  <c r="AA66" i="5"/>
  <c r="Y113" i="5"/>
  <c r="X127" i="5"/>
  <c r="AI111" i="5"/>
  <c r="AI126" i="5"/>
  <c r="Z65" i="5"/>
  <c r="X98" i="5"/>
  <c r="AH20" i="5"/>
  <c r="AI112" i="5"/>
  <c r="AH127" i="5"/>
  <c r="W8" i="5"/>
  <c r="Z21" i="5"/>
  <c r="W38" i="5"/>
  <c r="AH21" i="5"/>
  <c r="AI35" i="5"/>
  <c r="W83" i="5"/>
  <c r="AA96" i="5"/>
  <c r="AI21" i="5"/>
  <c r="AH35" i="5"/>
  <c r="Y7" i="5"/>
  <c r="X82" i="5"/>
  <c r="Y128" i="5"/>
  <c r="AI6" i="5"/>
  <c r="AI36" i="5"/>
  <c r="AH50" i="5"/>
  <c r="AH64" i="5"/>
  <c r="AH124" i="5"/>
  <c r="AH37" i="5"/>
  <c r="AA5" i="5"/>
  <c r="AA19" i="5"/>
  <c r="AA50" i="5"/>
  <c r="W68" i="5"/>
  <c r="AA80" i="5"/>
  <c r="Y127" i="5"/>
  <c r="AH5" i="5"/>
  <c r="AI22" i="5"/>
  <c r="AI37" i="5"/>
  <c r="AI81" i="5"/>
  <c r="AH95" i="5"/>
  <c r="AH125" i="5"/>
  <c r="Y53" i="5"/>
  <c r="X83" i="5"/>
  <c r="AA126" i="5"/>
  <c r="X8" i="5"/>
  <c r="Y23" i="5"/>
  <c r="X23" i="5"/>
  <c r="Y38" i="5"/>
  <c r="X68" i="5"/>
  <c r="Z66" i="5"/>
  <c r="Z94" i="5"/>
  <c r="Z96" i="5"/>
  <c r="AA110" i="5"/>
  <c r="Z124" i="5"/>
  <c r="AI66" i="5"/>
  <c r="AH110" i="5"/>
  <c r="W23" i="5"/>
  <c r="Y52" i="5"/>
  <c r="Z79" i="5"/>
  <c r="AA20" i="5"/>
  <c r="Y98" i="5"/>
  <c r="AA111" i="5"/>
  <c r="AH6" i="5"/>
  <c r="AI20" i="5"/>
  <c r="AI51" i="5"/>
  <c r="AI82" i="5"/>
  <c r="AI96" i="5"/>
  <c r="AA36" i="5"/>
  <c r="AA51" i="5"/>
  <c r="AA65" i="5"/>
  <c r="AA81" i="5"/>
  <c r="W98" i="5"/>
  <c r="W113" i="5"/>
  <c r="W128" i="5"/>
  <c r="AI67" i="5"/>
  <c r="AH79" i="5"/>
  <c r="Z6" i="5"/>
  <c r="X113" i="5"/>
  <c r="AI4" i="5"/>
  <c r="AH51" i="5"/>
  <c r="AH94" i="5"/>
  <c r="AH97" i="5"/>
  <c r="Y8" i="5"/>
  <c r="AA21" i="5"/>
  <c r="Y112" i="5"/>
  <c r="AI49" i="5"/>
  <c r="AI52" i="5"/>
  <c r="AI80" i="5"/>
  <c r="AH95" i="6"/>
  <c r="AH80" i="6"/>
  <c r="AH65" i="6"/>
  <c r="AH50" i="6"/>
  <c r="AH35" i="6"/>
  <c r="AI20" i="6"/>
  <c r="AH6" i="6"/>
  <c r="AH5" i="6"/>
  <c r="T97" i="6"/>
  <c r="AE99" i="6" s="1"/>
  <c r="T98" i="6"/>
  <c r="AE94" i="6" s="1"/>
  <c r="AF94" i="6" s="1"/>
  <c r="T52" i="6"/>
  <c r="AE54" i="6" s="1"/>
  <c r="T53" i="6"/>
  <c r="AE49" i="6" s="1"/>
  <c r="AF49" i="6" s="1"/>
  <c r="T37" i="6"/>
  <c r="AE39" i="6" s="1"/>
  <c r="T38" i="6"/>
  <c r="AE34" i="6" s="1"/>
  <c r="AF34" i="6" s="1"/>
  <c r="T22" i="6"/>
  <c r="AE24" i="6" s="1"/>
  <c r="T9" i="6"/>
  <c r="AE5" i="6" s="1"/>
  <c r="AF5" i="6" s="1"/>
  <c r="T7" i="6"/>
  <c r="Z95" i="6"/>
  <c r="AA95" i="6"/>
  <c r="Z94" i="6"/>
  <c r="AA94" i="6"/>
  <c r="Z96" i="6"/>
  <c r="AA82" i="6"/>
  <c r="Z80" i="6"/>
  <c r="AA80" i="6"/>
  <c r="Z79" i="6"/>
  <c r="AA79" i="6"/>
  <c r="Z81" i="6"/>
  <c r="Z65" i="6"/>
  <c r="AA65" i="6"/>
  <c r="Z64" i="6"/>
  <c r="AA64" i="6"/>
  <c r="Z66" i="6"/>
  <c r="Z50" i="6"/>
  <c r="AA50" i="6"/>
  <c r="Z49" i="6"/>
  <c r="AA49" i="6"/>
  <c r="Z51" i="6"/>
  <c r="Z35" i="6"/>
  <c r="AA35" i="6"/>
  <c r="Z34" i="6"/>
  <c r="AA34" i="6"/>
  <c r="Z36" i="6"/>
  <c r="Z20" i="6"/>
  <c r="Y22" i="6"/>
  <c r="W23" i="6"/>
  <c r="Z21" i="6"/>
  <c r="Z19" i="6"/>
  <c r="AA7" i="6"/>
  <c r="Z7" i="6"/>
  <c r="Z4" i="6"/>
  <c r="AA4" i="6"/>
  <c r="W8" i="6"/>
  <c r="Z6" i="6"/>
  <c r="X8" i="6"/>
  <c r="AI127" i="5"/>
  <c r="AH112" i="5"/>
  <c r="AH96" i="5"/>
  <c r="AI79" i="5"/>
  <c r="AH82" i="5"/>
  <c r="AH81" i="5"/>
  <c r="AH80" i="5"/>
  <c r="AH66" i="5"/>
  <c r="AH65" i="5"/>
  <c r="AH49" i="5"/>
  <c r="AH52" i="5"/>
  <c r="AI50" i="5"/>
  <c r="AH36" i="5"/>
  <c r="AH22" i="5"/>
  <c r="AH7" i="5"/>
  <c r="W127" i="5"/>
  <c r="Z125" i="5"/>
  <c r="Z126" i="5"/>
  <c r="AA125" i="5"/>
  <c r="X128" i="5"/>
  <c r="W112" i="5"/>
  <c r="X112" i="5"/>
  <c r="Z109" i="5"/>
  <c r="AA109" i="5"/>
  <c r="Z111" i="5"/>
  <c r="W97" i="5"/>
  <c r="Z95" i="5"/>
  <c r="X97" i="5"/>
  <c r="AA95" i="5"/>
  <c r="Y97" i="5"/>
  <c r="AA94" i="5"/>
  <c r="W82" i="5"/>
  <c r="Z80" i="5"/>
  <c r="Y82" i="5"/>
  <c r="AA79" i="5"/>
  <c r="Y67" i="5"/>
  <c r="Z64" i="5"/>
  <c r="AA64" i="5"/>
  <c r="X53" i="5"/>
  <c r="W52" i="5"/>
  <c r="Z50" i="5"/>
  <c r="X52" i="5"/>
  <c r="Z49" i="5"/>
  <c r="W37" i="5"/>
  <c r="Z35" i="5"/>
  <c r="AA35" i="5"/>
  <c r="Z36" i="5"/>
  <c r="X38" i="5"/>
  <c r="W22" i="5"/>
  <c r="Z20" i="5"/>
  <c r="X22" i="5"/>
  <c r="Y22" i="5"/>
  <c r="Z19" i="5"/>
  <c r="X7" i="5"/>
  <c r="Z5" i="5"/>
  <c r="Z4" i="5"/>
  <c r="AH133" i="2"/>
  <c r="AH136" i="2"/>
  <c r="AH135" i="2"/>
  <c r="AH120" i="2"/>
  <c r="AH88" i="2"/>
  <c r="AH71" i="2"/>
  <c r="AI53" i="2"/>
  <c r="AI55" i="2"/>
  <c r="AH54" i="2"/>
  <c r="AH39" i="2"/>
  <c r="AI24" i="2"/>
  <c r="AH23" i="2"/>
  <c r="AH22" i="2"/>
  <c r="AH8" i="2"/>
  <c r="AH7" i="2"/>
  <c r="T137" i="2"/>
  <c r="AE133" i="2" s="1"/>
  <c r="AF133" i="2" s="1"/>
  <c r="T120" i="2"/>
  <c r="AE122" i="2" s="1"/>
  <c r="T73" i="2"/>
  <c r="T24" i="2"/>
  <c r="T8" i="2"/>
  <c r="AE10" i="2" s="1"/>
  <c r="W136" i="2"/>
  <c r="T138" i="2" s="1"/>
  <c r="Z134" i="2"/>
  <c r="X136" i="2"/>
  <c r="Z133" i="2"/>
  <c r="T139" i="2" s="1"/>
  <c r="AE135" i="2" s="1"/>
  <c r="AF135" i="2" s="1"/>
  <c r="AA133" i="2"/>
  <c r="W120" i="2"/>
  <c r="T122" i="2" s="1"/>
  <c r="AE118" i="2" s="1"/>
  <c r="AF118" i="2" s="1"/>
  <c r="Z118" i="2"/>
  <c r="X120" i="2"/>
  <c r="Y120" i="2"/>
  <c r="Z117" i="2"/>
  <c r="X104" i="2"/>
  <c r="AA104" i="2" s="1"/>
  <c r="Y104" i="2"/>
  <c r="Z101" i="2"/>
  <c r="AA101" i="2"/>
  <c r="Z103" i="2"/>
  <c r="Z86" i="2"/>
  <c r="X88" i="2"/>
  <c r="AA88" i="2" s="1"/>
  <c r="Z85" i="2"/>
  <c r="AA85" i="2"/>
  <c r="W72" i="2"/>
  <c r="X72" i="2"/>
  <c r="Z69" i="2"/>
  <c r="Z71" i="2"/>
  <c r="Z54" i="2"/>
  <c r="W56" i="2"/>
  <c r="AA54" i="2"/>
  <c r="Y56" i="2"/>
  <c r="W40" i="2"/>
  <c r="Z38" i="2"/>
  <c r="Y40" i="2"/>
  <c r="AA37" i="2"/>
  <c r="AA24" i="2"/>
  <c r="AA22" i="2"/>
  <c r="Y24" i="2"/>
  <c r="Z24" i="2" s="1"/>
  <c r="AA21" i="2"/>
  <c r="W25" i="2"/>
  <c r="Z23" i="2"/>
  <c r="W8" i="2"/>
  <c r="Z6" i="2"/>
  <c r="Y8" i="2"/>
  <c r="Z5" i="2"/>
  <c r="AA5" i="2"/>
  <c r="Z7" i="2"/>
  <c r="AI101" i="4"/>
  <c r="AH104" i="4"/>
  <c r="AH88" i="4"/>
  <c r="AH87" i="4"/>
  <c r="AH71" i="4"/>
  <c r="AH53" i="4"/>
  <c r="AH56" i="4"/>
  <c r="AI54" i="4"/>
  <c r="AH55" i="4"/>
  <c r="AH40" i="4"/>
  <c r="AH23" i="4"/>
  <c r="AH22" i="4"/>
  <c r="W104" i="4"/>
  <c r="X104" i="4"/>
  <c r="Z101" i="4"/>
  <c r="AA101" i="4"/>
  <c r="AA87" i="4"/>
  <c r="W88" i="4"/>
  <c r="Z86" i="4"/>
  <c r="X89" i="4"/>
  <c r="AA86" i="4"/>
  <c r="Z70" i="4"/>
  <c r="Z71" i="4"/>
  <c r="AA71" i="4"/>
  <c r="W72" i="4"/>
  <c r="AA70" i="4"/>
  <c r="Y56" i="4"/>
  <c r="AA56" i="4" s="1"/>
  <c r="Z53" i="4"/>
  <c r="AA53" i="4"/>
  <c r="Z55" i="4"/>
  <c r="Z54" i="4"/>
  <c r="Z38" i="4"/>
  <c r="X40" i="4"/>
  <c r="Y40" i="4"/>
  <c r="Z37" i="4"/>
  <c r="AA37" i="4"/>
  <c r="Z22" i="4"/>
  <c r="X24" i="4"/>
  <c r="Z24" i="4" s="1"/>
  <c r="Z21" i="4"/>
  <c r="AA21" i="4"/>
  <c r="Z23" i="4"/>
  <c r="X9" i="4"/>
  <c r="AH6" i="4"/>
  <c r="AH7" i="4"/>
  <c r="AH8" i="4"/>
  <c r="AA5" i="4"/>
  <c r="X8" i="4"/>
  <c r="Y9" i="4"/>
  <c r="Z5" i="4"/>
  <c r="AA6" i="4"/>
  <c r="Z7" i="4"/>
  <c r="AA7" i="4"/>
  <c r="W8" i="4"/>
  <c r="Z6" i="4"/>
  <c r="Y8" i="4"/>
  <c r="P14" i="5"/>
  <c r="P59" i="5"/>
  <c r="T51" i="5" s="1"/>
  <c r="P44" i="5"/>
  <c r="T36" i="5" s="1"/>
  <c r="T37" i="5" s="1"/>
  <c r="P89" i="5"/>
  <c r="T81" i="5" s="1"/>
  <c r="P29" i="5"/>
  <c r="T21" i="5" s="1"/>
  <c r="T23" i="5" s="1"/>
  <c r="AE19" i="5" s="1"/>
  <c r="AF19" i="5" s="1"/>
  <c r="P134" i="5"/>
  <c r="T126" i="5" s="1"/>
  <c r="P104" i="5"/>
  <c r="T96" i="5" s="1"/>
  <c r="T97" i="5" s="1"/>
  <c r="P119" i="5"/>
  <c r="T111" i="5" s="1"/>
  <c r="T112" i="5" s="1"/>
  <c r="P74" i="5"/>
  <c r="T66" i="5" s="1"/>
  <c r="P31" i="2"/>
  <c r="T23" i="2" s="1"/>
  <c r="P15" i="2"/>
  <c r="T7" i="2" s="1"/>
  <c r="T11" i="2" s="1"/>
  <c r="P143" i="2"/>
  <c r="T135" i="2" s="1"/>
  <c r="T136" i="2" s="1"/>
  <c r="AE138" i="2" s="1"/>
  <c r="P47" i="2"/>
  <c r="T39" i="2" s="1"/>
  <c r="T42" i="2" s="1"/>
  <c r="P63" i="2"/>
  <c r="T55" i="2" s="1"/>
  <c r="P79" i="2"/>
  <c r="T71" i="2" s="1"/>
  <c r="P95" i="2"/>
  <c r="T87" i="2" s="1"/>
  <c r="P111" i="2"/>
  <c r="T103" i="2" s="1"/>
  <c r="T104" i="2" s="1"/>
  <c r="P127" i="2"/>
  <c r="T119" i="2" s="1"/>
  <c r="T121" i="2" s="1"/>
  <c r="AE117" i="2" s="1"/>
  <c r="AF117" i="2" s="1"/>
  <c r="P31" i="4"/>
  <c r="P95" i="4"/>
  <c r="T87" i="4" s="1"/>
  <c r="T88" i="4" s="1"/>
  <c r="P63" i="4"/>
  <c r="T55" i="4" s="1"/>
  <c r="P111" i="4"/>
  <c r="T103" i="4" s="1"/>
  <c r="P15" i="4"/>
  <c r="P47" i="4"/>
  <c r="T39" i="4" s="1"/>
  <c r="P79" i="4"/>
  <c r="T71" i="4" s="1"/>
  <c r="Q134" i="2"/>
  <c r="Q135" i="2"/>
  <c r="Q136" i="2"/>
  <c r="Q137" i="2"/>
  <c r="Q138" i="2"/>
  <c r="Q139" i="2"/>
  <c r="Q140" i="2"/>
  <c r="Q141" i="2"/>
  <c r="Q142" i="2"/>
  <c r="Q118" i="2"/>
  <c r="Q119" i="2"/>
  <c r="Q120" i="2"/>
  <c r="Q121" i="2"/>
  <c r="Q122" i="2"/>
  <c r="Q123" i="2"/>
  <c r="Q124" i="2"/>
  <c r="Q125" i="2"/>
  <c r="Q126" i="2"/>
  <c r="Q102" i="2"/>
  <c r="Q103" i="2"/>
  <c r="Q104" i="2"/>
  <c r="Q105" i="2"/>
  <c r="Q106" i="2"/>
  <c r="Q107" i="2"/>
  <c r="Q108" i="2"/>
  <c r="Q109" i="2"/>
  <c r="Q110" i="2"/>
  <c r="Q86" i="2"/>
  <c r="Q94" i="2"/>
  <c r="Q87" i="2"/>
  <c r="Q88" i="2"/>
  <c r="Q89" i="2"/>
  <c r="Q90" i="2"/>
  <c r="Q91" i="2"/>
  <c r="Q92" i="2"/>
  <c r="Q93" i="2"/>
  <c r="Q70" i="2"/>
  <c r="Q71" i="2"/>
  <c r="Q72" i="2"/>
  <c r="Q73" i="2"/>
  <c r="Q74" i="2"/>
  <c r="Q75" i="2"/>
  <c r="Q76" i="2"/>
  <c r="Q77" i="2"/>
  <c r="Q78" i="2"/>
  <c r="Q54" i="2"/>
  <c r="Q55" i="2"/>
  <c r="Q56" i="2"/>
  <c r="Q57" i="2"/>
  <c r="Q58" i="2"/>
  <c r="Q59" i="2"/>
  <c r="Q60" i="2"/>
  <c r="Q61" i="2"/>
  <c r="Q62" i="2"/>
  <c r="Q38" i="2"/>
  <c r="Q39" i="2"/>
  <c r="Q40" i="2"/>
  <c r="Q41" i="2"/>
  <c r="Q42" i="2"/>
  <c r="Q43" i="2"/>
  <c r="Q44" i="2"/>
  <c r="Q45" i="2"/>
  <c r="Q46" i="2"/>
  <c r="Q22" i="2"/>
  <c r="Q23" i="2"/>
  <c r="Q24" i="2"/>
  <c r="Q25" i="2"/>
  <c r="Q26" i="2"/>
  <c r="Q27" i="2"/>
  <c r="Q28" i="2"/>
  <c r="Q29" i="2"/>
  <c r="Q30" i="2"/>
  <c r="Q6" i="2"/>
  <c r="Q7" i="2"/>
  <c r="Q8" i="2"/>
  <c r="Q9" i="2"/>
  <c r="Q10" i="2"/>
  <c r="Q11" i="2"/>
  <c r="Q12" i="2"/>
  <c r="Q13" i="2"/>
  <c r="Q14" i="2"/>
  <c r="Z97" i="6" l="1"/>
  <c r="T54" i="6"/>
  <c r="T56" i="6" s="1"/>
  <c r="AE52" i="6" s="1"/>
  <c r="AF52" i="6" s="1"/>
  <c r="T55" i="6"/>
  <c r="AE51" i="6" s="1"/>
  <c r="AF51" i="6" s="1"/>
  <c r="AA52" i="6"/>
  <c r="T10" i="6"/>
  <c r="AE6" i="6" s="1"/>
  <c r="AF6" i="6" s="1"/>
  <c r="T99" i="6"/>
  <c r="T39" i="6"/>
  <c r="T69" i="6"/>
  <c r="AE65" i="6" s="1"/>
  <c r="AF65" i="6" s="1"/>
  <c r="T70" i="6"/>
  <c r="AE66" i="6" s="1"/>
  <c r="AF66" i="6" s="1"/>
  <c r="AE38" i="2"/>
  <c r="AF38" i="2" s="1"/>
  <c r="T140" i="2"/>
  <c r="AE136" i="2" s="1"/>
  <c r="AF136" i="2" s="1"/>
  <c r="AE134" i="2"/>
  <c r="AF134" i="2" s="1"/>
  <c r="AE106" i="2"/>
  <c r="T9" i="2"/>
  <c r="AE5" i="2" s="1"/>
  <c r="AF5" i="2" s="1"/>
  <c r="T107" i="2"/>
  <c r="T106" i="2"/>
  <c r="AE102" i="2" s="1"/>
  <c r="AF102" i="2" s="1"/>
  <c r="T105" i="2"/>
  <c r="AE101" i="2" s="1"/>
  <c r="AF101" i="2" s="1"/>
  <c r="T8" i="4"/>
  <c r="AE10" i="4" s="1"/>
  <c r="T7" i="4"/>
  <c r="T75" i="2"/>
  <c r="T74" i="2"/>
  <c r="AE70" i="2" s="1"/>
  <c r="AF70" i="2" s="1"/>
  <c r="T72" i="2"/>
  <c r="AE74" i="2" s="1"/>
  <c r="AE26" i="2"/>
  <c r="T59" i="2"/>
  <c r="T57" i="2"/>
  <c r="AE53" i="2" s="1"/>
  <c r="AF53" i="2" s="1"/>
  <c r="T58" i="2"/>
  <c r="AE54" i="2" s="1"/>
  <c r="AF54" i="2" s="1"/>
  <c r="T25" i="6"/>
  <c r="AE21" i="6" s="1"/>
  <c r="AF21" i="6" s="1"/>
  <c r="T40" i="6"/>
  <c r="AE36" i="6" s="1"/>
  <c r="AF36" i="6" s="1"/>
  <c r="T100" i="6"/>
  <c r="AE96" i="6" s="1"/>
  <c r="AF96" i="6" s="1"/>
  <c r="T67" i="6"/>
  <c r="AE69" i="6" s="1"/>
  <c r="T84" i="6"/>
  <c r="AE80" i="6" s="1"/>
  <c r="AF80" i="6" s="1"/>
  <c r="T89" i="2"/>
  <c r="AE85" i="2" s="1"/>
  <c r="AF85" i="2" s="1"/>
  <c r="T91" i="2"/>
  <c r="AE87" i="2" s="1"/>
  <c r="AF87" i="2" s="1"/>
  <c r="T88" i="2"/>
  <c r="T90" i="2"/>
  <c r="T56" i="4"/>
  <c r="AE58" i="4" s="1"/>
  <c r="T57" i="4"/>
  <c r="T43" i="2"/>
  <c r="AE39" i="2" s="1"/>
  <c r="AF39" i="2" s="1"/>
  <c r="T41" i="2"/>
  <c r="AE37" i="2" s="1"/>
  <c r="AF37" i="2" s="1"/>
  <c r="T40" i="2"/>
  <c r="Z56" i="4"/>
  <c r="Z88" i="2"/>
  <c r="T56" i="2"/>
  <c r="T85" i="6"/>
  <c r="AE81" i="6" s="1"/>
  <c r="AF81" i="6" s="1"/>
  <c r="T83" i="6"/>
  <c r="AE79" i="6" s="1"/>
  <c r="AF79" i="6" s="1"/>
  <c r="T123" i="2"/>
  <c r="AE119" i="2" s="1"/>
  <c r="AF119" i="2" s="1"/>
  <c r="Z82" i="6"/>
  <c r="T24" i="4"/>
  <c r="AE26" i="4" s="1"/>
  <c r="T23" i="4"/>
  <c r="AE69" i="2"/>
  <c r="AF69" i="2" s="1"/>
  <c r="T25" i="2"/>
  <c r="AE21" i="2" s="1"/>
  <c r="AF21" i="2" s="1"/>
  <c r="T27" i="2"/>
  <c r="AE23" i="2" s="1"/>
  <c r="AF23" i="2" s="1"/>
  <c r="T26" i="2"/>
  <c r="T10" i="2"/>
  <c r="AE6" i="2" s="1"/>
  <c r="AF6" i="2" s="1"/>
  <c r="AA22" i="6"/>
  <c r="AA67" i="5"/>
  <c r="AE7" i="2"/>
  <c r="AF7" i="2" s="1"/>
  <c r="T124" i="2"/>
  <c r="AE120" i="2" s="1"/>
  <c r="AF120" i="2" s="1"/>
  <c r="AE35" i="6"/>
  <c r="AF35" i="6" s="1"/>
  <c r="AA37" i="6"/>
  <c r="T24" i="6"/>
  <c r="AE95" i="6"/>
  <c r="AF95" i="6" s="1"/>
  <c r="Z37" i="6"/>
  <c r="AE9" i="6"/>
  <c r="AA67" i="6"/>
  <c r="T11" i="6"/>
  <c r="AE7" i="6" s="1"/>
  <c r="AF7" i="6" s="1"/>
  <c r="T74" i="4"/>
  <c r="T72" i="4"/>
  <c r="AE74" i="4" s="1"/>
  <c r="T75" i="4"/>
  <c r="AE71" i="4" s="1"/>
  <c r="AF71" i="4" s="1"/>
  <c r="T107" i="4"/>
  <c r="T106" i="4"/>
  <c r="AE102" i="4" s="1"/>
  <c r="AF102" i="4" s="1"/>
  <c r="T104" i="4"/>
  <c r="T105" i="4"/>
  <c r="AE101" i="4" s="1"/>
  <c r="AF101" i="4" s="1"/>
  <c r="T58" i="4"/>
  <c r="T59" i="4"/>
  <c r="AE55" i="4" s="1"/>
  <c r="AF55" i="4" s="1"/>
  <c r="T27" i="4"/>
  <c r="AE23" i="4" s="1"/>
  <c r="AF23" i="4" s="1"/>
  <c r="AA40" i="4"/>
  <c r="T91" i="4"/>
  <c r="T90" i="4"/>
  <c r="AE86" i="4" s="1"/>
  <c r="AF86" i="4" s="1"/>
  <c r="T89" i="4"/>
  <c r="AE85" i="4" s="1"/>
  <c r="AF85" i="4" s="1"/>
  <c r="T26" i="4"/>
  <c r="AE22" i="4" s="1"/>
  <c r="AF22" i="4" s="1"/>
  <c r="T73" i="4"/>
  <c r="AE90" i="4"/>
  <c r="T25" i="4"/>
  <c r="AE21" i="4" s="1"/>
  <c r="AF21" i="4" s="1"/>
  <c r="T42" i="4"/>
  <c r="T43" i="4"/>
  <c r="AE39" i="4" s="1"/>
  <c r="AF39" i="4" s="1"/>
  <c r="T41" i="4"/>
  <c r="AE37" i="4" s="1"/>
  <c r="AF37" i="4" s="1"/>
  <c r="T40" i="4"/>
  <c r="T6" i="5"/>
  <c r="T7" i="5" s="1"/>
  <c r="AE9" i="5" s="1"/>
  <c r="T54" i="5"/>
  <c r="AE50" i="5" s="1"/>
  <c r="AF50" i="5" s="1"/>
  <c r="T24" i="5"/>
  <c r="T127" i="5"/>
  <c r="AE129" i="5" s="1"/>
  <c r="T129" i="5"/>
  <c r="AE125" i="5" s="1"/>
  <c r="AF125" i="5" s="1"/>
  <c r="AE39" i="5"/>
  <c r="T40" i="5"/>
  <c r="T39" i="5"/>
  <c r="AE35" i="5" s="1"/>
  <c r="AF35" i="5" s="1"/>
  <c r="T38" i="5"/>
  <c r="AE34" i="5" s="1"/>
  <c r="AF34" i="5" s="1"/>
  <c r="T130" i="5"/>
  <c r="T55" i="5"/>
  <c r="AE51" i="5" s="1"/>
  <c r="AF51" i="5" s="1"/>
  <c r="T52" i="5"/>
  <c r="T53" i="5"/>
  <c r="AE49" i="5" s="1"/>
  <c r="AF49" i="5" s="1"/>
  <c r="T128" i="5"/>
  <c r="AE124" i="5" s="1"/>
  <c r="AF124" i="5" s="1"/>
  <c r="AE114" i="5"/>
  <c r="T70" i="5"/>
  <c r="AE66" i="5" s="1"/>
  <c r="AF66" i="5" s="1"/>
  <c r="T69" i="5"/>
  <c r="T67" i="5"/>
  <c r="AE69" i="5" s="1"/>
  <c r="T68" i="5"/>
  <c r="T114" i="5"/>
  <c r="T115" i="5"/>
  <c r="AE111" i="5" s="1"/>
  <c r="AF111" i="5" s="1"/>
  <c r="T113" i="5"/>
  <c r="AE109" i="5" s="1"/>
  <c r="AF109" i="5" s="1"/>
  <c r="T25" i="5"/>
  <c r="AE21" i="5" s="1"/>
  <c r="AF21" i="5" s="1"/>
  <c r="T22" i="5"/>
  <c r="AE24" i="5" s="1"/>
  <c r="T85" i="5"/>
  <c r="AE81" i="5" s="1"/>
  <c r="AF81" i="5" s="1"/>
  <c r="T82" i="5"/>
  <c r="T83" i="5"/>
  <c r="AE79" i="5" s="1"/>
  <c r="AF79" i="5" s="1"/>
  <c r="T84" i="5"/>
  <c r="AE80" i="5" s="1"/>
  <c r="AF80" i="5" s="1"/>
  <c r="T100" i="5"/>
  <c r="AE96" i="5" s="1"/>
  <c r="AF96" i="5" s="1"/>
  <c r="T99" i="5"/>
  <c r="T98" i="5"/>
  <c r="AE94" i="5" s="1"/>
  <c r="AF94" i="5" s="1"/>
  <c r="AE99" i="5"/>
  <c r="AA127" i="5"/>
  <c r="Z127" i="5"/>
  <c r="AA112" i="5"/>
  <c r="Z112" i="5"/>
  <c r="AA97" i="5"/>
  <c r="Z97" i="5"/>
  <c r="AA82" i="5"/>
  <c r="Z82" i="5"/>
  <c r="Z67" i="5"/>
  <c r="AA52" i="5"/>
  <c r="Z52" i="5"/>
  <c r="AA37" i="5"/>
  <c r="Z37" i="5"/>
  <c r="Z22" i="5"/>
  <c r="AA22" i="5"/>
  <c r="AA7" i="5"/>
  <c r="Z7" i="5"/>
  <c r="T141" i="2"/>
  <c r="AE137" i="2" s="1"/>
  <c r="AF137" i="2" s="1"/>
  <c r="AN132" i="2" s="1"/>
  <c r="AA136" i="2"/>
  <c r="Z136" i="2"/>
  <c r="AA120" i="2"/>
  <c r="Z120" i="2"/>
  <c r="Z104" i="2"/>
  <c r="AA72" i="2"/>
  <c r="Z72" i="2"/>
  <c r="AA56" i="2"/>
  <c r="Z56" i="2"/>
  <c r="AA40" i="2"/>
  <c r="Z40" i="2"/>
  <c r="AA8" i="2"/>
  <c r="Z8" i="2"/>
  <c r="AA104" i="4"/>
  <c r="Z104" i="4"/>
  <c r="AA88" i="4"/>
  <c r="Z88" i="4"/>
  <c r="AA72" i="4"/>
  <c r="Z72" i="4"/>
  <c r="Z40" i="4"/>
  <c r="AA24" i="4"/>
  <c r="T11" i="4"/>
  <c r="AE7" i="4" s="1"/>
  <c r="AF7" i="4" s="1"/>
  <c r="T10" i="4"/>
  <c r="AA8" i="4"/>
  <c r="Z8" i="4"/>
  <c r="T9" i="4"/>
  <c r="AE5" i="4" s="1"/>
  <c r="AF5" i="4" s="1"/>
  <c r="AE50" i="6" l="1"/>
  <c r="AF50" i="6" s="1"/>
  <c r="T71" i="6"/>
  <c r="AE67" i="6" s="1"/>
  <c r="AF67" i="6" s="1"/>
  <c r="T12" i="6"/>
  <c r="AE8" i="6" s="1"/>
  <c r="AF8" i="6" s="1"/>
  <c r="AG4" i="6" s="1"/>
  <c r="T12" i="2"/>
  <c r="AE8" i="2" s="1"/>
  <c r="AF8" i="2" s="1"/>
  <c r="T92" i="2"/>
  <c r="AE88" i="2" s="1"/>
  <c r="AF88" i="2" s="1"/>
  <c r="AE86" i="2"/>
  <c r="AF86" i="2" s="1"/>
  <c r="T76" i="2"/>
  <c r="AE72" i="2" s="1"/>
  <c r="AF72" i="2" s="1"/>
  <c r="AE71" i="2"/>
  <c r="AF71" i="2" s="1"/>
  <c r="T61" i="2"/>
  <c r="AE57" i="2" s="1"/>
  <c r="AF57" i="2" s="1"/>
  <c r="AG54" i="2" s="1"/>
  <c r="AE58" i="2"/>
  <c r="T57" i="6"/>
  <c r="AE53" i="6" s="1"/>
  <c r="AF53" i="6" s="1"/>
  <c r="AG49" i="6" s="1"/>
  <c r="T101" i="6"/>
  <c r="AE97" i="6" s="1"/>
  <c r="AF97" i="6" s="1"/>
  <c r="AE90" i="2"/>
  <c r="AG134" i="2"/>
  <c r="AG133" i="2"/>
  <c r="AG136" i="2"/>
  <c r="T41" i="6"/>
  <c r="AE37" i="6" s="1"/>
  <c r="AF37" i="6" s="1"/>
  <c r="T45" i="2"/>
  <c r="AE41" i="2" s="1"/>
  <c r="AF41" i="2" s="1"/>
  <c r="AN36" i="2" s="1"/>
  <c r="AE42" i="2"/>
  <c r="T60" i="2"/>
  <c r="AE56" i="2" s="1"/>
  <c r="AF56" i="2" s="1"/>
  <c r="AE55" i="2"/>
  <c r="AF55" i="2" s="1"/>
  <c r="AG135" i="2"/>
  <c r="T86" i="6"/>
  <c r="AE82" i="6" s="1"/>
  <c r="AF82" i="6" s="1"/>
  <c r="T28" i="2"/>
  <c r="AE24" i="2" s="1"/>
  <c r="AF24" i="2" s="1"/>
  <c r="AE22" i="2"/>
  <c r="AF22" i="2" s="1"/>
  <c r="AP142" i="2"/>
  <c r="AP143" i="2"/>
  <c r="AP139" i="2"/>
  <c r="AP141" i="2"/>
  <c r="AP145" i="2"/>
  <c r="AP144" i="2"/>
  <c r="AP138" i="2"/>
  <c r="AP140" i="2"/>
  <c r="AP137" i="2"/>
  <c r="AG39" i="2"/>
  <c r="T108" i="2"/>
  <c r="AE104" i="2" s="1"/>
  <c r="AF104" i="2" s="1"/>
  <c r="AE103" i="2"/>
  <c r="AF103" i="2" s="1"/>
  <c r="T44" i="2"/>
  <c r="AE40" i="2" s="1"/>
  <c r="AF40" i="2" s="1"/>
  <c r="T60" i="4"/>
  <c r="AE56" i="4" s="1"/>
  <c r="AF56" i="4" s="1"/>
  <c r="AE53" i="4"/>
  <c r="AF53" i="4" s="1"/>
  <c r="T125" i="2"/>
  <c r="AE121" i="2" s="1"/>
  <c r="AF121" i="2" s="1"/>
  <c r="AG52" i="6"/>
  <c r="T26" i="6"/>
  <c r="AE20" i="6"/>
  <c r="AF20" i="6" s="1"/>
  <c r="AG5" i="6"/>
  <c r="T44" i="4"/>
  <c r="AE40" i="4" s="1"/>
  <c r="AF40" i="4" s="1"/>
  <c r="AE38" i="4"/>
  <c r="AF38" i="4" s="1"/>
  <c r="T92" i="4"/>
  <c r="AE88" i="4" s="1"/>
  <c r="AF88" i="4" s="1"/>
  <c r="AE87" i="4"/>
  <c r="AF87" i="4" s="1"/>
  <c r="T108" i="4"/>
  <c r="AE104" i="4" s="1"/>
  <c r="AF104" i="4" s="1"/>
  <c r="AE103" i="4"/>
  <c r="AF103" i="4" s="1"/>
  <c r="T93" i="4"/>
  <c r="AE89" i="4" s="1"/>
  <c r="AF89" i="4" s="1"/>
  <c r="AN84" i="4" s="1"/>
  <c r="T28" i="4"/>
  <c r="AE24" i="4" s="1"/>
  <c r="AF24" i="4" s="1"/>
  <c r="AE106" i="4"/>
  <c r="T77" i="4"/>
  <c r="AE73" i="4" s="1"/>
  <c r="AF73" i="4" s="1"/>
  <c r="AE69" i="4"/>
  <c r="AF69" i="4" s="1"/>
  <c r="AE54" i="4"/>
  <c r="AF54" i="4" s="1"/>
  <c r="AE42" i="4"/>
  <c r="T45" i="4"/>
  <c r="AE41" i="4" s="1"/>
  <c r="AF41" i="4" s="1"/>
  <c r="AN36" i="4" s="1"/>
  <c r="T76" i="4"/>
  <c r="AE72" i="4" s="1"/>
  <c r="AF72" i="4" s="1"/>
  <c r="AE70" i="4"/>
  <c r="AF70" i="4" s="1"/>
  <c r="T8" i="5"/>
  <c r="AE4" i="5" s="1"/>
  <c r="AF4" i="5" s="1"/>
  <c r="T26" i="5"/>
  <c r="AE22" i="5" s="1"/>
  <c r="AF22" i="5" s="1"/>
  <c r="T9" i="5"/>
  <c r="AE5" i="5" s="1"/>
  <c r="AF5" i="5" s="1"/>
  <c r="T10" i="5"/>
  <c r="AE6" i="5" s="1"/>
  <c r="AF6" i="5" s="1"/>
  <c r="AE20" i="5"/>
  <c r="AF20" i="5" s="1"/>
  <c r="T116" i="5"/>
  <c r="AE112" i="5" s="1"/>
  <c r="AF112" i="5" s="1"/>
  <c r="AE110" i="5"/>
  <c r="AF110" i="5" s="1"/>
  <c r="T131" i="5"/>
  <c r="AE126" i="5"/>
  <c r="AF126" i="5" s="1"/>
  <c r="T42" i="5"/>
  <c r="AE38" i="5" s="1"/>
  <c r="AF38" i="5" s="1"/>
  <c r="AE95" i="5"/>
  <c r="AF95" i="5" s="1"/>
  <c r="T101" i="5"/>
  <c r="T41" i="5"/>
  <c r="AE37" i="5" s="1"/>
  <c r="AF37" i="5" s="1"/>
  <c r="AE36" i="5"/>
  <c r="AF36" i="5" s="1"/>
  <c r="T86" i="5"/>
  <c r="AE82" i="5" s="1"/>
  <c r="AF82" i="5" s="1"/>
  <c r="T71" i="5"/>
  <c r="AE67" i="5" s="1"/>
  <c r="AF67" i="5" s="1"/>
  <c r="AE65" i="5"/>
  <c r="AF65" i="5" s="1"/>
  <c r="T117" i="5"/>
  <c r="AE113" i="5" s="1"/>
  <c r="AF113" i="5" s="1"/>
  <c r="T56" i="5"/>
  <c r="AE52" i="5" s="1"/>
  <c r="AF52" i="5" s="1"/>
  <c r="AE84" i="5"/>
  <c r="AE64" i="5"/>
  <c r="AF64" i="5" s="1"/>
  <c r="AE54" i="5"/>
  <c r="T12" i="4"/>
  <c r="AE8" i="4" s="1"/>
  <c r="AF8" i="4" s="1"/>
  <c r="AE6" i="4"/>
  <c r="AF6" i="4" s="1"/>
  <c r="AN3" i="6" l="1"/>
  <c r="AP16" i="6" s="1"/>
  <c r="AG7" i="6"/>
  <c r="AG6" i="6"/>
  <c r="T72" i="6"/>
  <c r="AE68" i="6" s="1"/>
  <c r="AF68" i="6" s="1"/>
  <c r="AG50" i="6"/>
  <c r="T87" i="6"/>
  <c r="AE83" i="6" s="1"/>
  <c r="AF83" i="6" s="1"/>
  <c r="AG82" i="6" s="1"/>
  <c r="T13" i="2"/>
  <c r="AE9" i="2" s="1"/>
  <c r="AF9" i="2" s="1"/>
  <c r="AG8" i="2" s="1"/>
  <c r="T57" i="5"/>
  <c r="AE53" i="5" s="1"/>
  <c r="AF53" i="5" s="1"/>
  <c r="AG51" i="5" s="1"/>
  <c r="T61" i="4"/>
  <c r="AE57" i="4" s="1"/>
  <c r="AF57" i="4" s="1"/>
  <c r="AN52" i="4" s="1"/>
  <c r="AP61" i="4" s="1"/>
  <c r="T109" i="2"/>
  <c r="AE105" i="2" s="1"/>
  <c r="AF105" i="2" s="1"/>
  <c r="AG104" i="2" s="1"/>
  <c r="T42" i="6"/>
  <c r="AE38" i="6" s="1"/>
  <c r="AF38" i="6" s="1"/>
  <c r="AP49" i="2"/>
  <c r="AP44" i="2"/>
  <c r="AP42" i="2"/>
  <c r="AP47" i="2"/>
  <c r="AP46" i="2"/>
  <c r="AP45" i="2"/>
  <c r="AP43" i="2"/>
  <c r="AP41" i="2"/>
  <c r="AP48" i="2"/>
  <c r="AG55" i="2"/>
  <c r="AN52" i="2"/>
  <c r="AG53" i="2"/>
  <c r="T102" i="6"/>
  <c r="AE98" i="6" s="1"/>
  <c r="AF98" i="6" s="1"/>
  <c r="T93" i="2"/>
  <c r="AE89" i="2" s="1"/>
  <c r="AF89" i="2" s="1"/>
  <c r="AG86" i="2" s="1"/>
  <c r="AG38" i="2"/>
  <c r="T29" i="4"/>
  <c r="AE25" i="4" s="1"/>
  <c r="AF25" i="4" s="1"/>
  <c r="AG40" i="2"/>
  <c r="T29" i="2"/>
  <c r="AE25" i="2" s="1"/>
  <c r="AF25" i="2" s="1"/>
  <c r="AG24" i="2" s="1"/>
  <c r="AG37" i="2"/>
  <c r="AG56" i="2"/>
  <c r="AP15" i="6"/>
  <c r="AP9" i="6"/>
  <c r="AP14" i="6"/>
  <c r="AG22" i="2"/>
  <c r="AG51" i="6"/>
  <c r="AN51" i="6"/>
  <c r="T77" i="2"/>
  <c r="AE73" i="2" s="1"/>
  <c r="AF73" i="2" s="1"/>
  <c r="AG71" i="2" s="1"/>
  <c r="AG37" i="5"/>
  <c r="AN35" i="5"/>
  <c r="AG109" i="5"/>
  <c r="AN115" i="5"/>
  <c r="AG7" i="2"/>
  <c r="AN4" i="2"/>
  <c r="AG5" i="2"/>
  <c r="AG6" i="2"/>
  <c r="AG118" i="2"/>
  <c r="AN116" i="2"/>
  <c r="AG117" i="2"/>
  <c r="AG120" i="2"/>
  <c r="AG119" i="2"/>
  <c r="AG80" i="6"/>
  <c r="AE22" i="6"/>
  <c r="AF22" i="6" s="1"/>
  <c r="T27" i="6"/>
  <c r="AE23" i="6" s="1"/>
  <c r="AF23" i="6" s="1"/>
  <c r="AN19" i="6" s="1"/>
  <c r="AG81" i="6"/>
  <c r="AG79" i="6"/>
  <c r="AG72" i="4"/>
  <c r="AN68" i="4"/>
  <c r="AP94" i="4"/>
  <c r="AP93" i="4"/>
  <c r="AP92" i="4"/>
  <c r="AP91" i="4"/>
  <c r="AP90" i="4"/>
  <c r="AP97" i="4"/>
  <c r="AP89" i="4"/>
  <c r="AP96" i="4"/>
  <c r="AP95" i="4"/>
  <c r="AG70" i="4"/>
  <c r="AP43" i="4"/>
  <c r="AP42" i="4"/>
  <c r="AP41" i="4"/>
  <c r="AP48" i="4"/>
  <c r="AP47" i="4"/>
  <c r="AP46" i="4"/>
  <c r="AP45" i="4"/>
  <c r="AP44" i="4"/>
  <c r="AP64" i="4"/>
  <c r="AP62" i="4"/>
  <c r="AP63" i="4"/>
  <c r="AP57" i="4"/>
  <c r="AP65" i="4"/>
  <c r="AP58" i="4"/>
  <c r="AP59" i="4"/>
  <c r="T109" i="4"/>
  <c r="AE105" i="4" s="1"/>
  <c r="AF105" i="4" s="1"/>
  <c r="AG103" i="4" s="1"/>
  <c r="AG88" i="4"/>
  <c r="AG37" i="4"/>
  <c r="AG56" i="4"/>
  <c r="AG38" i="4"/>
  <c r="AG71" i="4"/>
  <c r="AG87" i="4"/>
  <c r="AG85" i="4"/>
  <c r="AG54" i="4"/>
  <c r="AG86" i="4"/>
  <c r="AG69" i="4"/>
  <c r="AG55" i="4"/>
  <c r="AG40" i="4"/>
  <c r="AG39" i="4"/>
  <c r="T87" i="5"/>
  <c r="AE83" i="5" s="1"/>
  <c r="AF83" i="5" s="1"/>
  <c r="T27" i="5"/>
  <c r="AE23" i="5" s="1"/>
  <c r="AF23" i="5" s="1"/>
  <c r="AG20" i="5"/>
  <c r="T11" i="5"/>
  <c r="AE7" i="5" s="1"/>
  <c r="AF7" i="5" s="1"/>
  <c r="T72" i="5"/>
  <c r="AE68" i="5" s="1"/>
  <c r="AF68" i="5" s="1"/>
  <c r="AE97" i="5"/>
  <c r="AF97" i="5" s="1"/>
  <c r="T102" i="5"/>
  <c r="AE98" i="5" s="1"/>
  <c r="AF98" i="5" s="1"/>
  <c r="AG111" i="5"/>
  <c r="AG79" i="5"/>
  <c r="AG36" i="5"/>
  <c r="AG35" i="5"/>
  <c r="AE127" i="5"/>
  <c r="AF127" i="5" s="1"/>
  <c r="T132" i="5"/>
  <c r="AE128" i="5" s="1"/>
  <c r="AF128" i="5" s="1"/>
  <c r="AG110" i="5"/>
  <c r="AG34" i="5"/>
  <c r="AG112" i="5"/>
  <c r="T13" i="4"/>
  <c r="AE9" i="4" s="1"/>
  <c r="AF9" i="4" s="1"/>
  <c r="AP8" i="6" l="1"/>
  <c r="AP12" i="6"/>
  <c r="AP13" i="6"/>
  <c r="AN83" i="6"/>
  <c r="AP10" i="6"/>
  <c r="AP11" i="6"/>
  <c r="AG20" i="6"/>
  <c r="AG64" i="6"/>
  <c r="AG66" i="6"/>
  <c r="AG65" i="6"/>
  <c r="AN67" i="6"/>
  <c r="AG67" i="6"/>
  <c r="AG103" i="2"/>
  <c r="AG21" i="4"/>
  <c r="AG22" i="4"/>
  <c r="AG23" i="4"/>
  <c r="AG72" i="2"/>
  <c r="AG34" i="6"/>
  <c r="AN35" i="6"/>
  <c r="AG36" i="6"/>
  <c r="AG37" i="6"/>
  <c r="AG35" i="6"/>
  <c r="AP61" i="6"/>
  <c r="AP57" i="6"/>
  <c r="AP60" i="6"/>
  <c r="AP63" i="6"/>
  <c r="AP62" i="6"/>
  <c r="AP64" i="6"/>
  <c r="AP58" i="6"/>
  <c r="AP59" i="6"/>
  <c r="AP56" i="6"/>
  <c r="AN20" i="2"/>
  <c r="AG21" i="2"/>
  <c r="AG23" i="2"/>
  <c r="AG96" i="6"/>
  <c r="AN99" i="6"/>
  <c r="AG94" i="6"/>
  <c r="AG97" i="6"/>
  <c r="AG95" i="6"/>
  <c r="AN68" i="2"/>
  <c r="AG69" i="2"/>
  <c r="AG70" i="2"/>
  <c r="AN100" i="2"/>
  <c r="AG102" i="2"/>
  <c r="AG101" i="2"/>
  <c r="AN20" i="4"/>
  <c r="AG24" i="4"/>
  <c r="AN84" i="2"/>
  <c r="AG85" i="2"/>
  <c r="AG87" i="2"/>
  <c r="AG82" i="5"/>
  <c r="AN83" i="5"/>
  <c r="AP60" i="4"/>
  <c r="AG22" i="6"/>
  <c r="AG53" i="4"/>
  <c r="AG88" i="2"/>
  <c r="AP95" i="6"/>
  <c r="AP92" i="6"/>
  <c r="AP90" i="6"/>
  <c r="AP89" i="6"/>
  <c r="AP88" i="6"/>
  <c r="AP96" i="6"/>
  <c r="AP94" i="6"/>
  <c r="AP93" i="6"/>
  <c r="AP91" i="6"/>
  <c r="AP62" i="2"/>
  <c r="AP63" i="2"/>
  <c r="AP65" i="2"/>
  <c r="AP58" i="2"/>
  <c r="AP59" i="2"/>
  <c r="AP60" i="2"/>
  <c r="AP61" i="2"/>
  <c r="AP64" i="2"/>
  <c r="AP57" i="2"/>
  <c r="AG80" i="5"/>
  <c r="AG49" i="5"/>
  <c r="AN51" i="5"/>
  <c r="AP126" i="5"/>
  <c r="AP122" i="5"/>
  <c r="AP121" i="5"/>
  <c r="AP127" i="5"/>
  <c r="AP120" i="5"/>
  <c r="AP125" i="5"/>
  <c r="AP124" i="5"/>
  <c r="AP123" i="5"/>
  <c r="AP128" i="5"/>
  <c r="AG50" i="5"/>
  <c r="AG52" i="5"/>
  <c r="AG67" i="5"/>
  <c r="AN67" i="5"/>
  <c r="AP41" i="5"/>
  <c r="AP45" i="5"/>
  <c r="AP44" i="5"/>
  <c r="AP48" i="5"/>
  <c r="AP40" i="5"/>
  <c r="AP47" i="5"/>
  <c r="AP46" i="5"/>
  <c r="AP43" i="5"/>
  <c r="AP42" i="5"/>
  <c r="AG22" i="5"/>
  <c r="AN19" i="5"/>
  <c r="AG126" i="5"/>
  <c r="AN131" i="5"/>
  <c r="AG95" i="5"/>
  <c r="AN99" i="5"/>
  <c r="AG81" i="5"/>
  <c r="AP15" i="2"/>
  <c r="AP14" i="2"/>
  <c r="AP13" i="2"/>
  <c r="AP16" i="2"/>
  <c r="AP12" i="2"/>
  <c r="AP17" i="2"/>
  <c r="AP9" i="2"/>
  <c r="AP11" i="2"/>
  <c r="AP10" i="2"/>
  <c r="AP128" i="2"/>
  <c r="AP126" i="2"/>
  <c r="AP125" i="2"/>
  <c r="AP129" i="2"/>
  <c r="AP124" i="2"/>
  <c r="AP123" i="2"/>
  <c r="AP122" i="2"/>
  <c r="AP121" i="2"/>
  <c r="AP127" i="2"/>
  <c r="AG21" i="6"/>
  <c r="AG19" i="6"/>
  <c r="AP31" i="4"/>
  <c r="AP30" i="4"/>
  <c r="AP26" i="4"/>
  <c r="AP29" i="4"/>
  <c r="AP25" i="4"/>
  <c r="AP33" i="4"/>
  <c r="AP28" i="4"/>
  <c r="AP32" i="4"/>
  <c r="AP27" i="4"/>
  <c r="AG6" i="4"/>
  <c r="AN4" i="4"/>
  <c r="AN100" i="4"/>
  <c r="AG102" i="4"/>
  <c r="AG101" i="4"/>
  <c r="AG104" i="4"/>
  <c r="AG19" i="5"/>
  <c r="AG21" i="5"/>
  <c r="AG66" i="5"/>
  <c r="AG65" i="5"/>
  <c r="AG127" i="5"/>
  <c r="AG64" i="5"/>
  <c r="T12" i="5"/>
  <c r="AE8" i="5" s="1"/>
  <c r="AF8" i="5" s="1"/>
  <c r="AG94" i="5"/>
  <c r="AG96" i="5"/>
  <c r="AG125" i="5"/>
  <c r="AG124" i="5"/>
  <c r="AG97" i="5"/>
  <c r="AG8" i="4"/>
  <c r="AG5" i="4"/>
  <c r="AG7" i="4"/>
  <c r="AP74" i="6" l="1"/>
  <c r="AP72" i="6"/>
  <c r="AP76" i="6"/>
  <c r="AP77" i="6"/>
  <c r="AP78" i="6"/>
  <c r="AP79" i="6"/>
  <c r="AP75" i="6"/>
  <c r="AP73" i="6"/>
  <c r="AP80" i="6"/>
  <c r="AP112" i="2"/>
  <c r="AP108" i="2"/>
  <c r="AP106" i="2"/>
  <c r="AP105" i="2"/>
  <c r="AP113" i="2"/>
  <c r="AP110" i="2"/>
  <c r="AP109" i="2"/>
  <c r="AP107" i="2"/>
  <c r="AP111" i="2"/>
  <c r="AP48" i="6"/>
  <c r="AP44" i="6"/>
  <c r="AP42" i="6"/>
  <c r="AP41" i="6"/>
  <c r="AP40" i="6"/>
  <c r="AP45" i="6"/>
  <c r="AP43" i="6"/>
  <c r="AP46" i="6"/>
  <c r="AP47" i="6"/>
  <c r="AP108" i="6"/>
  <c r="AP109" i="6"/>
  <c r="AP107" i="6"/>
  <c r="AP110" i="6"/>
  <c r="AP111" i="6"/>
  <c r="AP104" i="6"/>
  <c r="AP112" i="6"/>
  <c r="AP105" i="6"/>
  <c r="AP106" i="6"/>
  <c r="AP26" i="2"/>
  <c r="AP27" i="2"/>
  <c r="AP31" i="2"/>
  <c r="AP30" i="2"/>
  <c r="AP29" i="2"/>
  <c r="AP28" i="2"/>
  <c r="AP25" i="2"/>
  <c r="AP33" i="2"/>
  <c r="AP32" i="2"/>
  <c r="AP76" i="2"/>
  <c r="AP78" i="2"/>
  <c r="AP79" i="2"/>
  <c r="AP77" i="2"/>
  <c r="AP73" i="2"/>
  <c r="AP75" i="2"/>
  <c r="AP80" i="2"/>
  <c r="AP81" i="2"/>
  <c r="AP74" i="2"/>
  <c r="AP95" i="2"/>
  <c r="AP90" i="2"/>
  <c r="AP91" i="2"/>
  <c r="AP93" i="2"/>
  <c r="AP89" i="2"/>
  <c r="AP92" i="2"/>
  <c r="AP96" i="2"/>
  <c r="AP97" i="2"/>
  <c r="AP13" i="5"/>
  <c r="AP11" i="5"/>
  <c r="AP10" i="5"/>
  <c r="AP8" i="5"/>
  <c r="AP15" i="5"/>
  <c r="AP12" i="5"/>
  <c r="AP9" i="5"/>
  <c r="AP16" i="5"/>
  <c r="AP14" i="5"/>
  <c r="AP76" i="5"/>
  <c r="AP72" i="5"/>
  <c r="AP79" i="5"/>
  <c r="AP77" i="5"/>
  <c r="AP75" i="5"/>
  <c r="AP74" i="5"/>
  <c r="AP73" i="5"/>
  <c r="AP80" i="5"/>
  <c r="AP90" i="5"/>
  <c r="AP88" i="5"/>
  <c r="AP94" i="5"/>
  <c r="AP93" i="5"/>
  <c r="AP89" i="5"/>
  <c r="AP96" i="5"/>
  <c r="AP95" i="5"/>
  <c r="AP92" i="5"/>
  <c r="AP91" i="5"/>
  <c r="AP141" i="5"/>
  <c r="AP144" i="5"/>
  <c r="AP136" i="5"/>
  <c r="AP142" i="5"/>
  <c r="AP140" i="5"/>
  <c r="AP139" i="5"/>
  <c r="AP138" i="5"/>
  <c r="AP137" i="5"/>
  <c r="AP143" i="5"/>
  <c r="AP27" i="5"/>
  <c r="AP32" i="5"/>
  <c r="AP30" i="5"/>
  <c r="AP28" i="5"/>
  <c r="AP26" i="5"/>
  <c r="AP25" i="5"/>
  <c r="AP24" i="5"/>
  <c r="AP31" i="5"/>
  <c r="AP29" i="5"/>
  <c r="AP61" i="5"/>
  <c r="AP60" i="5"/>
  <c r="AP56" i="5"/>
  <c r="AP62" i="5"/>
  <c r="AP59" i="5"/>
  <c r="AP58" i="5"/>
  <c r="AP64" i="5"/>
  <c r="AP57" i="5"/>
  <c r="AP63" i="5"/>
  <c r="AP112" i="5"/>
  <c r="AP110" i="5"/>
  <c r="AP109" i="5"/>
  <c r="AP107" i="5"/>
  <c r="AP111" i="5"/>
  <c r="AP104" i="5"/>
  <c r="AP108" i="5"/>
  <c r="AP106" i="5"/>
  <c r="AP105" i="5"/>
  <c r="AP109" i="4"/>
  <c r="AP111" i="4"/>
  <c r="AP113" i="4"/>
  <c r="AP108" i="4"/>
  <c r="AP107" i="4"/>
  <c r="AP106" i="4"/>
  <c r="AP105" i="4"/>
  <c r="AP110" i="4"/>
  <c r="AP112" i="4"/>
  <c r="AG7" i="5"/>
  <c r="AG4" i="5"/>
  <c r="AG5" i="5"/>
  <c r="AG6" i="5"/>
</calcChain>
</file>

<file path=xl/sharedStrings.xml><?xml version="1.0" encoding="utf-8"?>
<sst xmlns="http://schemas.openxmlformats.org/spreadsheetml/2006/main" count="3751" uniqueCount="111">
  <si>
    <t>Perlakuan</t>
  </si>
  <si>
    <t>Titik Sampel</t>
  </si>
  <si>
    <t>Depan</t>
  </si>
  <si>
    <t>Plot 1</t>
  </si>
  <si>
    <t>Plot 2</t>
  </si>
  <si>
    <t>Plot 3</t>
  </si>
  <si>
    <t>Plot 4</t>
  </si>
  <si>
    <t>Tengah</t>
  </si>
  <si>
    <t>Belakang</t>
  </si>
  <si>
    <t>P0W10</t>
  </si>
  <si>
    <t>P0W20</t>
  </si>
  <si>
    <t>P0W30</t>
  </si>
  <si>
    <t>P5W10</t>
  </si>
  <si>
    <t>P5W20</t>
  </si>
  <si>
    <t>P5W30</t>
  </si>
  <si>
    <t>P10W10</t>
  </si>
  <si>
    <t>P10W20</t>
  </si>
  <si>
    <t>P10W30</t>
  </si>
  <si>
    <t>No.</t>
  </si>
  <si>
    <t>TINGGI TANAMAN</t>
  </si>
  <si>
    <t xml:space="preserve">Minggu </t>
  </si>
  <si>
    <t>Minggu I Rabu /23/08/2023</t>
  </si>
  <si>
    <t>Minggu II Rabu /30/08/2023</t>
  </si>
  <si>
    <t>Minggu III Rabu /06/09/2023</t>
  </si>
  <si>
    <t>Minggu IV Rabu /13/09/2023</t>
  </si>
  <si>
    <t>Minggu V Rabu /20/09/2023</t>
  </si>
  <si>
    <t>Minggu VI Rabu /27/09/2023</t>
  </si>
  <si>
    <t>Minggu VII Rabu /04/10/2023</t>
  </si>
  <si>
    <t>Minggu VIII Rabu /11/10/2023</t>
  </si>
  <si>
    <t>Minggu IX Rabu /18/10/2023</t>
  </si>
  <si>
    <t>29.5 </t>
  </si>
  <si>
    <t>73,5</t>
  </si>
  <si>
    <t>Rata-rata</t>
  </si>
  <si>
    <t>Total</t>
  </si>
  <si>
    <t>Minggu Ke- II
Rabu / 30/08/2023</t>
  </si>
  <si>
    <t>Minggu Ke- I 
Rabu / 23/08/2023</t>
  </si>
  <si>
    <t>Minggu Ke- III
Rabu / 06/09/2023</t>
  </si>
  <si>
    <t>Minggu Ke- IV
Rabu / 13/09/2023</t>
  </si>
  <si>
    <t>Minggu Ke- V
Rabu / 20/09/2023</t>
  </si>
  <si>
    <t>Minggu Ke- VI
Rabu / 27/09/2023</t>
  </si>
  <si>
    <t>Minggu Ke- VII
Rabu / 04/10/2023</t>
  </si>
  <si>
    <t>Minggu Ke- VIII
Rabu / 11/10/2023</t>
  </si>
  <si>
    <t>Minggu Ke- IX
Rabu / 18/10/2023</t>
  </si>
  <si>
    <t>Kelompok</t>
  </si>
  <si>
    <t xml:space="preserve">P </t>
  </si>
  <si>
    <t>W</t>
  </si>
  <si>
    <t>FK</t>
  </si>
  <si>
    <t>JKT</t>
  </si>
  <si>
    <t>JKK</t>
  </si>
  <si>
    <t>JKP</t>
  </si>
  <si>
    <t>JKW</t>
  </si>
  <si>
    <t>JKPW</t>
  </si>
  <si>
    <t>JKG</t>
  </si>
  <si>
    <t>Fobio</t>
  </si>
  <si>
    <t>Lama Perendaman</t>
  </si>
  <si>
    <t>W10</t>
  </si>
  <si>
    <t>W20</t>
  </si>
  <si>
    <t>W30</t>
  </si>
  <si>
    <t>P0</t>
  </si>
  <si>
    <t>P5</t>
  </si>
  <si>
    <t>P10</t>
  </si>
  <si>
    <t>SK</t>
  </si>
  <si>
    <t>db</t>
  </si>
  <si>
    <t>JK</t>
  </si>
  <si>
    <t>KT</t>
  </si>
  <si>
    <t>F-hit</t>
  </si>
  <si>
    <t>F-tabel</t>
  </si>
  <si>
    <t>Notasi</t>
  </si>
  <si>
    <t>Ket</t>
  </si>
  <si>
    <t>P X W</t>
  </si>
  <si>
    <t>Galat</t>
  </si>
  <si>
    <t>Ulangan</t>
  </si>
  <si>
    <t>tn</t>
  </si>
  <si>
    <t>Tidak Berbeda Nyata</t>
  </si>
  <si>
    <t xml:space="preserve">sd </t>
  </si>
  <si>
    <t>BNJ Tabel</t>
  </si>
  <si>
    <t>BNJ Hitung</t>
  </si>
  <si>
    <t>BNJ+Rata-rata</t>
  </si>
  <si>
    <t xml:space="preserve"> </t>
  </si>
  <si>
    <t>sd</t>
  </si>
  <si>
    <t>uji BNJ Interaksi 5%</t>
  </si>
  <si>
    <t xml:space="preserve">Perlakuan </t>
  </si>
  <si>
    <t>Minggu 1</t>
  </si>
  <si>
    <t>Minggu 2</t>
  </si>
  <si>
    <t>Minggu 3</t>
  </si>
  <si>
    <t>Minggu 4</t>
  </si>
  <si>
    <t>Minggu 5</t>
  </si>
  <si>
    <t>Minggu 6</t>
  </si>
  <si>
    <t>Minggu 7</t>
  </si>
  <si>
    <t>Minggu 8</t>
  </si>
  <si>
    <t>Minggu 9</t>
  </si>
  <si>
    <t xml:space="preserve">Minggu 3 </t>
  </si>
  <si>
    <t>Berbeda Nyata</t>
  </si>
  <si>
    <t>a</t>
  </si>
  <si>
    <t>b</t>
  </si>
  <si>
    <t>*</t>
  </si>
  <si>
    <t>Titik Sampel (Cm)</t>
  </si>
  <si>
    <t>Tabel ANOVA RAK Faktorial</t>
  </si>
  <si>
    <t>Perl</t>
  </si>
  <si>
    <t>ab</t>
  </si>
  <si>
    <t>abc</t>
  </si>
  <si>
    <t>bc</t>
  </si>
  <si>
    <t>c</t>
  </si>
  <si>
    <t>abcd</t>
  </si>
  <si>
    <t>e</t>
  </si>
  <si>
    <t>bcd</t>
  </si>
  <si>
    <t>cd</t>
  </si>
  <si>
    <t>d</t>
  </si>
  <si>
    <t>bcde</t>
  </si>
  <si>
    <t>cde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</si>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</sst>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#.##"/>
    <numFmt numFmtId="168" formatCode="#.#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2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/>
    <xf numFmtId="168" fontId="3" fillId="0" borderId="1" xfId="0" applyNumberFormat="1" applyFont="1" applyBorder="1"/>
    <xf numFmtId="165" fontId="3" fillId="0" borderId="1" xfId="0" applyNumberFormat="1" applyFont="1" applyBorder="1"/>
    <xf numFmtId="1" fontId="1" fillId="0" borderId="1" xfId="0" applyNumberFormat="1" applyFont="1" applyBorder="1" applyAlignment="1">
      <alignment vertical="center" wrapText="1"/>
    </xf>
    <xf numFmtId="1" fontId="3" fillId="0" borderId="1" xfId="0" applyNumberFormat="1" applyFont="1" applyBorder="1"/>
    <xf numFmtId="1" fontId="1" fillId="0" borderId="0" xfId="0" applyNumberFormat="1" applyFont="1" applyAlignment="1">
      <alignment vertical="center" wrapText="1"/>
    </xf>
    <xf numFmtId="1" fontId="3" fillId="0" borderId="8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168" fontId="3" fillId="0" borderId="0" xfId="0" applyNumberFormat="1" applyFont="1"/>
    <xf numFmtId="165" fontId="3" fillId="0" borderId="0" xfId="0" applyNumberFormat="1" applyFont="1"/>
    <xf numFmtId="166" fontId="3" fillId="0" borderId="1" xfId="0" applyNumberFormat="1" applyFont="1" applyBorder="1"/>
    <xf numFmtId="1" fontId="3" fillId="0" borderId="0" xfId="0" applyNumberFormat="1" applyFont="1"/>
    <xf numFmtId="1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1" xfId="0" applyFont="1" applyFill="1" applyBorder="1"/>
    <xf numFmtId="2" fontId="3" fillId="0" borderId="0" xfId="0" applyNumberFormat="1" applyFont="1"/>
    <xf numFmtId="164" fontId="3" fillId="0" borderId="0" xfId="0" applyNumberFormat="1" applyFont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7" fontId="3" fillId="0" borderId="0" xfId="0" applyNumberFormat="1" applyFont="1"/>
    <xf numFmtId="167" fontId="3" fillId="4" borderId="0" xfId="0" applyNumberFormat="1" applyFont="1" applyFill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vertical="center" wrapText="1"/>
    </xf>
    <xf numFmtId="1" fontId="3" fillId="0" borderId="4" xfId="0" applyNumberFormat="1" applyFont="1" applyBorder="1"/>
    <xf numFmtId="1" fontId="3" fillId="0" borderId="7" xfId="0" applyNumberFormat="1" applyFont="1" applyBorder="1"/>
    <xf numFmtId="2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A347-2359-4ECB-BBA1-82CA999DDFAD}">
  <dimension ref="A1:BA144"/>
  <sheetViews>
    <sheetView topLeftCell="AG5" zoomScale="102" workbookViewId="0">
      <selection activeCell="AO145" sqref="AO145"/>
    </sheetView>
  </sheetViews>
  <sheetFormatPr defaultRowHeight="14" x14ac:dyDescent="0.3"/>
  <cols>
    <col min="1" max="1" width="8.7265625" style="6"/>
    <col min="2" max="2" width="26.26953125" style="6" customWidth="1"/>
    <col min="3" max="3" width="10.453125" style="6" customWidth="1"/>
    <col min="4" max="18" width="8.7265625" style="6"/>
    <col min="19" max="19" width="12.08984375" style="6" customWidth="1"/>
    <col min="20" max="20" width="10.90625" style="6" customWidth="1"/>
    <col min="21" max="21" width="8.7265625" style="6"/>
    <col min="22" max="22" width="9.54296875" style="6" customWidth="1"/>
    <col min="23" max="23" width="7.7265625" style="6" customWidth="1"/>
    <col min="24" max="24" width="7.6328125" style="6" customWidth="1"/>
    <col min="25" max="25" width="7.453125" style="6" customWidth="1"/>
    <col min="26" max="26" width="7.08984375" style="6" customWidth="1"/>
    <col min="27" max="27" width="8.81640625" style="6" customWidth="1"/>
    <col min="28" max="28" width="8" style="6" customWidth="1"/>
    <col min="29" max="29" width="10.08984375" style="6" customWidth="1"/>
    <col min="30" max="30" width="6.26953125" style="6" customWidth="1"/>
    <col min="31" max="32" width="9.6328125" style="6" customWidth="1"/>
    <col min="33" max="33" width="8.26953125" style="6" customWidth="1"/>
    <col min="34" max="34" width="8.7265625" style="6"/>
    <col min="35" max="35" width="7.90625" style="6" customWidth="1"/>
    <col min="36" max="36" width="8" style="6" customWidth="1"/>
    <col min="37" max="37" width="17.453125" style="6" customWidth="1"/>
    <col min="38" max="38" width="8.7265625" style="6"/>
    <col min="39" max="39" width="9.6328125" style="6" customWidth="1"/>
    <col min="40" max="40" width="9.7265625" style="6" customWidth="1"/>
    <col min="41" max="41" width="9.6328125" style="6" customWidth="1"/>
    <col min="42" max="42" width="12.81640625" style="6" customWidth="1"/>
    <col min="43" max="44" width="8.7265625" style="6"/>
    <col min="45" max="45" width="26.7265625" style="6" bestFit="1" customWidth="1"/>
    <col min="46" max="46" width="9.26953125" style="6" bestFit="1" customWidth="1"/>
    <col min="47" max="52" width="8.7265625" style="6"/>
    <col min="53" max="53" width="12.54296875" style="6" bestFit="1" customWidth="1"/>
    <col min="54" max="16384" width="8.7265625" style="6"/>
  </cols>
  <sheetData>
    <row r="1" spans="1:53" x14ac:dyDescent="0.3">
      <c r="A1" s="6" t="s">
        <v>78</v>
      </c>
      <c r="AA1" s="51"/>
      <c r="AS1" s="6" t="s">
        <v>97</v>
      </c>
    </row>
    <row r="2" spans="1:53" x14ac:dyDescent="0.3">
      <c r="A2" s="3" t="s">
        <v>18</v>
      </c>
      <c r="B2" s="3" t="s">
        <v>20</v>
      </c>
      <c r="C2" s="65" t="s">
        <v>0</v>
      </c>
      <c r="D2" s="70" t="s">
        <v>96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2"/>
      <c r="P2" s="65" t="s">
        <v>33</v>
      </c>
      <c r="Q2" s="65" t="s">
        <v>32</v>
      </c>
      <c r="V2" s="65" t="s">
        <v>53</v>
      </c>
      <c r="W2" s="70" t="s">
        <v>54</v>
      </c>
      <c r="X2" s="71"/>
      <c r="Y2" s="72"/>
      <c r="Z2" s="65" t="s">
        <v>33</v>
      </c>
      <c r="AA2" s="67" t="s">
        <v>32</v>
      </c>
      <c r="AC2" s="65" t="s">
        <v>61</v>
      </c>
      <c r="AD2" s="65" t="s">
        <v>62</v>
      </c>
      <c r="AE2" s="65" t="s">
        <v>63</v>
      </c>
      <c r="AF2" s="65" t="s">
        <v>64</v>
      </c>
      <c r="AG2" s="65" t="s">
        <v>65</v>
      </c>
      <c r="AH2" s="69" t="s">
        <v>66</v>
      </c>
      <c r="AI2" s="69"/>
      <c r="AJ2" s="65" t="s">
        <v>67</v>
      </c>
      <c r="AK2" s="65" t="s">
        <v>68</v>
      </c>
      <c r="AM2" s="78" t="s">
        <v>80</v>
      </c>
      <c r="AN2" s="78"/>
      <c r="AS2" s="65" t="s">
        <v>61</v>
      </c>
      <c r="AT2" s="65" t="s">
        <v>62</v>
      </c>
      <c r="AU2" s="65" t="s">
        <v>63</v>
      </c>
      <c r="AV2" s="65" t="s">
        <v>64</v>
      </c>
      <c r="AW2" s="65" t="s">
        <v>65</v>
      </c>
      <c r="AX2" s="69" t="s">
        <v>66</v>
      </c>
      <c r="AY2" s="69"/>
      <c r="AZ2" s="65" t="s">
        <v>67</v>
      </c>
      <c r="BA2" s="65" t="s">
        <v>68</v>
      </c>
    </row>
    <row r="3" spans="1:53" x14ac:dyDescent="0.3">
      <c r="A3" s="65">
        <v>1</v>
      </c>
      <c r="B3" s="74" t="s">
        <v>35</v>
      </c>
      <c r="C3" s="73"/>
      <c r="D3" s="70" t="s">
        <v>2</v>
      </c>
      <c r="E3" s="71"/>
      <c r="F3" s="71"/>
      <c r="G3" s="72"/>
      <c r="H3" s="70" t="s">
        <v>7</v>
      </c>
      <c r="I3" s="71"/>
      <c r="J3" s="71"/>
      <c r="K3" s="72"/>
      <c r="L3" s="70" t="s">
        <v>8</v>
      </c>
      <c r="M3" s="71"/>
      <c r="N3" s="71"/>
      <c r="O3" s="72"/>
      <c r="P3" s="73"/>
      <c r="Q3" s="73"/>
      <c r="S3" s="6" t="s">
        <v>71</v>
      </c>
      <c r="T3" s="6">
        <v>12</v>
      </c>
      <c r="V3" s="66"/>
      <c r="W3" s="3" t="s">
        <v>55</v>
      </c>
      <c r="X3" s="3" t="s">
        <v>56</v>
      </c>
      <c r="Y3" s="3" t="s">
        <v>57</v>
      </c>
      <c r="Z3" s="66"/>
      <c r="AA3" s="68"/>
      <c r="AC3" s="66"/>
      <c r="AD3" s="66"/>
      <c r="AE3" s="66"/>
      <c r="AF3" s="66"/>
      <c r="AG3" s="66"/>
      <c r="AH3" s="42">
        <v>0.05</v>
      </c>
      <c r="AI3" s="42">
        <v>0.01</v>
      </c>
      <c r="AJ3" s="66"/>
      <c r="AK3" s="66"/>
      <c r="AM3" s="3" t="s">
        <v>74</v>
      </c>
      <c r="AN3" s="54">
        <f>SQRT(AF8/12)</f>
        <v>1.0651066427798785</v>
      </c>
      <c r="AO3" s="48"/>
      <c r="AP3" s="49" t="s">
        <v>82</v>
      </c>
      <c r="AS3" s="66"/>
      <c r="AT3" s="66"/>
      <c r="AU3" s="66"/>
      <c r="AV3" s="66"/>
      <c r="AW3" s="66"/>
      <c r="AX3" s="42">
        <v>0.05</v>
      </c>
      <c r="AY3" s="42">
        <v>0.01</v>
      </c>
      <c r="AZ3" s="66"/>
      <c r="BA3" s="66"/>
    </row>
    <row r="4" spans="1:53" x14ac:dyDescent="0.3">
      <c r="A4" s="73"/>
      <c r="B4" s="75"/>
      <c r="C4" s="66"/>
      <c r="D4" s="3" t="s">
        <v>3</v>
      </c>
      <c r="E4" s="3" t="s">
        <v>4</v>
      </c>
      <c r="F4" s="3" t="s">
        <v>5</v>
      </c>
      <c r="G4" s="3" t="s">
        <v>6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3</v>
      </c>
      <c r="M4" s="3" t="s">
        <v>4</v>
      </c>
      <c r="N4" s="3" t="s">
        <v>5</v>
      </c>
      <c r="O4" s="3" t="s">
        <v>6</v>
      </c>
      <c r="P4" s="66"/>
      <c r="Q4" s="66"/>
      <c r="S4" s="6" t="s">
        <v>44</v>
      </c>
      <c r="T4" s="6">
        <v>3</v>
      </c>
      <c r="V4" s="3" t="s">
        <v>58</v>
      </c>
      <c r="W4" s="2">
        <f>SUM(D5:O5)</f>
        <v>190</v>
      </c>
      <c r="X4" s="2">
        <f>SUM(D6:O6)</f>
        <v>169</v>
      </c>
      <c r="Y4" s="2">
        <f>SUM(D7:O7)</f>
        <v>162</v>
      </c>
      <c r="Z4" s="2">
        <f>SUM(W4:Y4)</f>
        <v>521</v>
      </c>
      <c r="AA4" s="53">
        <f>AVERAGE(W4:Y4)</f>
        <v>173.66666666666666</v>
      </c>
      <c r="AC4" s="3" t="s">
        <v>43</v>
      </c>
      <c r="AD4" s="2">
        <f>12-1</f>
        <v>11</v>
      </c>
      <c r="AE4" s="53">
        <f>T8</f>
        <v>653.85185185185401</v>
      </c>
      <c r="AF4" s="53">
        <f>AE4/AD4</f>
        <v>59.441077441077638</v>
      </c>
      <c r="AG4" s="53">
        <f>AF4/AF8</f>
        <v>4.3663569893803116</v>
      </c>
      <c r="AH4" s="53">
        <f>FINV(AH3,AD4,AD8)</f>
        <v>1.8991710184693407</v>
      </c>
      <c r="AI4" s="53">
        <f>FINV(AI3,AD4,AD8)</f>
        <v>2.4560580535880434</v>
      </c>
      <c r="AJ4" s="30" t="s">
        <v>72</v>
      </c>
      <c r="AK4" s="2"/>
      <c r="AM4" s="2" t="s">
        <v>75</v>
      </c>
      <c r="AN4" s="54">
        <v>4.46</v>
      </c>
      <c r="AS4" s="3" t="s">
        <v>43</v>
      </c>
      <c r="AT4" s="2">
        <f>12-1</f>
        <v>11</v>
      </c>
      <c r="AU4" s="6">
        <f>SUMSQ(D14:O14)/(3*3)-AT13</f>
        <v>653.85185185185401</v>
      </c>
      <c r="AV4" s="53">
        <f>AU4/AT4</f>
        <v>59.441077441077638</v>
      </c>
      <c r="AW4" s="53">
        <f>AV4/AV9</f>
        <v>4.3663569893803116</v>
      </c>
      <c r="AX4" s="53">
        <f>FINV(AX3,AT4,AT9)</f>
        <v>1.8991710184693407</v>
      </c>
      <c r="AY4" s="53">
        <f>FINV(AY3,AT4,AT9)</f>
        <v>2.4560580535880434</v>
      </c>
      <c r="AZ4" s="2" t="str">
        <f>IF(AW4&gt;AY4,"**",IF(AW4&gt;AX4,"*","TN"))</f>
        <v>**</v>
      </c>
      <c r="BA4" s="2" t="str">
        <f>IF(AZ4="TN","Tidak Nyata",IF(AZ4="*","Nyata",IF(AZ4="**","Sangat Nyata",0)))</f>
        <v>Sangat Nyata</v>
      </c>
    </row>
    <row r="5" spans="1:53" ht="15.5" x14ac:dyDescent="0.3">
      <c r="A5" s="73"/>
      <c r="B5" s="75"/>
      <c r="C5" s="2" t="s">
        <v>9</v>
      </c>
      <c r="D5" s="4">
        <v>17</v>
      </c>
      <c r="E5" s="4">
        <v>20</v>
      </c>
      <c r="F5" s="4">
        <v>23</v>
      </c>
      <c r="G5" s="4">
        <v>20</v>
      </c>
      <c r="H5" s="4">
        <v>11</v>
      </c>
      <c r="I5" s="4">
        <v>6</v>
      </c>
      <c r="J5" s="4">
        <v>6</v>
      </c>
      <c r="K5" s="4">
        <v>12</v>
      </c>
      <c r="L5" s="4">
        <v>26</v>
      </c>
      <c r="M5" s="4">
        <v>13</v>
      </c>
      <c r="N5" s="4">
        <v>19</v>
      </c>
      <c r="O5" s="4">
        <v>17</v>
      </c>
      <c r="P5" s="2">
        <f>SUM(D5:O5)</f>
        <v>190</v>
      </c>
      <c r="Q5" s="53">
        <f>AVERAGE(D5:O5)</f>
        <v>15.833333333333334</v>
      </c>
      <c r="S5" s="6" t="s">
        <v>45</v>
      </c>
      <c r="T5" s="6">
        <v>3</v>
      </c>
      <c r="V5" s="3" t="s">
        <v>59</v>
      </c>
      <c r="W5" s="2">
        <f>SUM(D8:O8)</f>
        <v>185</v>
      </c>
      <c r="X5" s="2">
        <f>SUM(D9:O9)</f>
        <v>225</v>
      </c>
      <c r="Y5" s="2">
        <f>SUM(D10:O10)</f>
        <v>185</v>
      </c>
      <c r="Z5" s="2">
        <f>SUM(W5:Y5)</f>
        <v>595</v>
      </c>
      <c r="AA5" s="53">
        <f>AVERAGE(W5:Y5)</f>
        <v>198.33333333333334</v>
      </c>
      <c r="AC5" s="3" t="s">
        <v>45</v>
      </c>
      <c r="AD5" s="2">
        <f>3-1</f>
        <v>2</v>
      </c>
      <c r="AE5" s="53">
        <f>T9</f>
        <v>18.018518518518249</v>
      </c>
      <c r="AF5" s="53">
        <f>AE5/AD5</f>
        <v>9.0092592592591245</v>
      </c>
      <c r="AG5" s="53">
        <f>AF5/AF8</f>
        <v>0.66179221220879991</v>
      </c>
      <c r="AH5" s="53">
        <f>FINV(AH3,AD5,AD8)</f>
        <v>3.1000686386371408</v>
      </c>
      <c r="AI5" s="53">
        <f>FINV(AI3,AD5,AD8)</f>
        <v>4.8547979993760721</v>
      </c>
      <c r="AJ5" s="30" t="s">
        <v>95</v>
      </c>
      <c r="AK5" s="2"/>
      <c r="AM5" s="2" t="s">
        <v>76</v>
      </c>
      <c r="AN5" s="54">
        <f>AN4*AN3</f>
        <v>4.7503756267982586</v>
      </c>
      <c r="AS5" s="3" t="s">
        <v>98</v>
      </c>
      <c r="AT5" s="2">
        <f>3*3-1</f>
        <v>8</v>
      </c>
      <c r="AU5" s="53">
        <f>SUMSQ(P5:P13)/12-AT13</f>
        <v>357.57407407407663</v>
      </c>
      <c r="AV5" s="53">
        <f t="shared" ref="AV5:AV9" si="0">AU5/AT5</f>
        <v>44.696759259259579</v>
      </c>
      <c r="AW5" s="53">
        <f>AV5/AV9</f>
        <v>3.2832851555858173</v>
      </c>
      <c r="AX5" s="53">
        <f>FINV(AX3,AT5,AT9)</f>
        <v>2.0454143150341193</v>
      </c>
      <c r="AY5" s="53">
        <f>FINV(AY3,AT5,AT9)</f>
        <v>2.720181875728696</v>
      </c>
      <c r="AZ5" s="2" t="str">
        <f>IF(AW5&gt;AY5,"**",IF(AW5&gt;AX5,"*","TN"))</f>
        <v>**</v>
      </c>
      <c r="BA5" s="2" t="str">
        <f t="shared" ref="BA5:BA8" si="1">IF(AZ5="TN","Tidak Nyata",IF(AZ5="*","Nyata",IF(AZ5="**","Sangat Nyata",0)))</f>
        <v>Sangat Nyata</v>
      </c>
    </row>
    <row r="6" spans="1:53" x14ac:dyDescent="0.3">
      <c r="A6" s="73"/>
      <c r="B6" s="75"/>
      <c r="C6" s="2" t="s">
        <v>10</v>
      </c>
      <c r="D6" s="50">
        <v>13</v>
      </c>
      <c r="E6" s="50">
        <v>16</v>
      </c>
      <c r="F6" s="50">
        <v>17</v>
      </c>
      <c r="G6" s="50">
        <v>18</v>
      </c>
      <c r="H6" s="50">
        <v>10</v>
      </c>
      <c r="I6" s="50">
        <v>8</v>
      </c>
      <c r="J6" s="50">
        <v>9</v>
      </c>
      <c r="K6" s="50">
        <v>13</v>
      </c>
      <c r="L6" s="50">
        <v>19</v>
      </c>
      <c r="M6" s="50">
        <v>14</v>
      </c>
      <c r="N6" s="50">
        <v>15</v>
      </c>
      <c r="O6" s="50">
        <v>17</v>
      </c>
      <c r="P6" s="2">
        <f t="shared" ref="P6:P13" si="2">SUM(D6:O6)</f>
        <v>169</v>
      </c>
      <c r="Q6" s="53">
        <f t="shared" ref="Q6:Q13" si="3">AVERAGE(D6:O6)</f>
        <v>14.083333333333334</v>
      </c>
      <c r="S6" s="6" t="s">
        <v>46</v>
      </c>
      <c r="T6" s="51">
        <f>(P14^2)/(12*3*3)</f>
        <v>27904.592592592591</v>
      </c>
      <c r="V6" s="3" t="s">
        <v>60</v>
      </c>
      <c r="W6" s="2">
        <f>SUM(D11:O11)</f>
        <v>186</v>
      </c>
      <c r="X6" s="2">
        <f>SUM(D12:O12)</f>
        <v>203</v>
      </c>
      <c r="Y6" s="2">
        <f>SUM(D13:O13)</f>
        <v>231</v>
      </c>
      <c r="Z6" s="2">
        <f>SUM(W6:Y6)</f>
        <v>620</v>
      </c>
      <c r="AA6" s="53">
        <f>AVERAGE(W6:Y6)</f>
        <v>206.66666666666666</v>
      </c>
      <c r="AC6" s="3" t="s">
        <v>44</v>
      </c>
      <c r="AD6" s="2">
        <f>3-1</f>
        <v>2</v>
      </c>
      <c r="AE6" s="53">
        <f>T10</f>
        <v>147.24074074074088</v>
      </c>
      <c r="AF6" s="53">
        <f>AE6/AD6</f>
        <v>73.620370370370438</v>
      </c>
      <c r="AG6" s="53">
        <f>AF6/AF8</f>
        <v>5.4079238224791899</v>
      </c>
      <c r="AH6" s="53">
        <f>FINV(AH3,AD6,AD8)</f>
        <v>3.1000686386371408</v>
      </c>
      <c r="AI6" s="53">
        <f>FINV(AI3,AD6,AD8)</f>
        <v>4.8547979993760721</v>
      </c>
      <c r="AJ6" s="30" t="s">
        <v>72</v>
      </c>
      <c r="AK6" s="2"/>
      <c r="AN6" s="44"/>
      <c r="AS6" s="3" t="s">
        <v>45</v>
      </c>
      <c r="AT6" s="2">
        <f>3-1</f>
        <v>2</v>
      </c>
      <c r="AU6" s="53">
        <f>SUMSQ(W7:Y7)/(3*12)-AT13</f>
        <v>18.018518518518249</v>
      </c>
      <c r="AV6" s="53">
        <f t="shared" si="0"/>
        <v>9.0092592592591245</v>
      </c>
      <c r="AW6" s="53">
        <f>AV6/AV9</f>
        <v>0.66179221220879991</v>
      </c>
      <c r="AX6" s="53">
        <f>FINV(AX3,AT6,AT9)</f>
        <v>3.1000686386371408</v>
      </c>
      <c r="AY6" s="53">
        <f>FINV(AY3,AT6,AT9)</f>
        <v>4.8547979993760721</v>
      </c>
      <c r="AZ6" s="2" t="str">
        <f>IF(AW6&gt;AY6,"**",IF(AW6&gt;AX6,"*","TN"))</f>
        <v>TN</v>
      </c>
      <c r="BA6" s="2" t="str">
        <f t="shared" si="1"/>
        <v>Tidak Nyata</v>
      </c>
    </row>
    <row r="7" spans="1:53" x14ac:dyDescent="0.3">
      <c r="A7" s="73"/>
      <c r="B7" s="75"/>
      <c r="C7" s="2" t="s">
        <v>11</v>
      </c>
      <c r="D7" s="50">
        <v>15</v>
      </c>
      <c r="E7" s="50">
        <v>14</v>
      </c>
      <c r="F7" s="50">
        <v>16</v>
      </c>
      <c r="G7" s="50">
        <v>15</v>
      </c>
      <c r="H7" s="50">
        <v>12</v>
      </c>
      <c r="I7" s="50">
        <v>9</v>
      </c>
      <c r="J7" s="50">
        <v>9</v>
      </c>
      <c r="K7" s="50">
        <v>13</v>
      </c>
      <c r="L7" s="50">
        <v>20</v>
      </c>
      <c r="M7" s="50">
        <v>10</v>
      </c>
      <c r="N7" s="50">
        <v>15</v>
      </c>
      <c r="O7" s="50">
        <v>14</v>
      </c>
      <c r="P7" s="2">
        <f t="shared" si="2"/>
        <v>162</v>
      </c>
      <c r="Q7" s="53">
        <f t="shared" si="3"/>
        <v>13.5</v>
      </c>
      <c r="S7" s="6" t="s">
        <v>47</v>
      </c>
      <c r="T7" s="51">
        <f>SUMSQ(D5:O13)-T6</f>
        <v>2209.4074074074088</v>
      </c>
      <c r="V7" s="3" t="s">
        <v>33</v>
      </c>
      <c r="W7" s="2">
        <f>SUM(W4:W6)</f>
        <v>561</v>
      </c>
      <c r="X7" s="2">
        <f>SUM(X4:X6)</f>
        <v>597</v>
      </c>
      <c r="Y7" s="2">
        <f>SUM(Y4:Y6)</f>
        <v>578</v>
      </c>
      <c r="Z7" s="2">
        <f>SUM(W7:Y7)</f>
        <v>1736</v>
      </c>
      <c r="AA7" s="53">
        <f>AVERAGE(W7:Y7)</f>
        <v>578.66666666666663</v>
      </c>
      <c r="AC7" s="3" t="s">
        <v>69</v>
      </c>
      <c r="AD7" s="2">
        <f>(3-1)*(3-1)</f>
        <v>4</v>
      </c>
      <c r="AE7" s="53">
        <f>T11</f>
        <v>192.31481481481751</v>
      </c>
      <c r="AF7" s="53">
        <f>AE7/AD7</f>
        <v>48.078703703704377</v>
      </c>
      <c r="AG7" s="53">
        <f>AF7/AF8</f>
        <v>3.5317122938276397</v>
      </c>
      <c r="AH7" s="53">
        <f>FINV(AH3,AD7,AD8)</f>
        <v>2.4752774088696223</v>
      </c>
      <c r="AI7" s="53">
        <f>FINV(AI3,AD7,AD8)</f>
        <v>3.5400845421240663</v>
      </c>
      <c r="AJ7" s="30" t="s">
        <v>72</v>
      </c>
      <c r="AK7" s="2"/>
      <c r="AM7" s="2" t="s">
        <v>0</v>
      </c>
      <c r="AN7" s="33" t="s">
        <v>32</v>
      </c>
      <c r="AO7" s="2" t="s">
        <v>67</v>
      </c>
      <c r="AP7" s="2" t="s">
        <v>77</v>
      </c>
      <c r="AS7" s="3" t="s">
        <v>44</v>
      </c>
      <c r="AT7" s="2">
        <f>3-1</f>
        <v>2</v>
      </c>
      <c r="AU7" s="53">
        <f>SUMSQ(Z4:Z6)/(3*12)-AT13</f>
        <v>147.24074074074088</v>
      </c>
      <c r="AV7" s="53">
        <f t="shared" si="0"/>
        <v>73.620370370370438</v>
      </c>
      <c r="AW7" s="53">
        <f>AV7/AV9</f>
        <v>5.4079238224791899</v>
      </c>
      <c r="AX7" s="53">
        <f>FINV(AX3,AT7,AT9)</f>
        <v>3.1000686386371408</v>
      </c>
      <c r="AY7" s="53">
        <f>FINV(AY3,AT7,AT9)</f>
        <v>4.8547979993760721</v>
      </c>
      <c r="AZ7" s="2" t="str">
        <f>IF(AW7&gt;AY7,"**",IF(AW7&gt;AX7,"*","TN"))</f>
        <v>**</v>
      </c>
      <c r="BA7" s="2" t="str">
        <f t="shared" si="1"/>
        <v>Sangat Nyata</v>
      </c>
    </row>
    <row r="8" spans="1:53" ht="15.5" x14ac:dyDescent="0.3">
      <c r="A8" s="73"/>
      <c r="B8" s="75"/>
      <c r="C8" s="2" t="s">
        <v>12</v>
      </c>
      <c r="D8" s="4">
        <v>10</v>
      </c>
      <c r="E8" s="4">
        <v>12</v>
      </c>
      <c r="F8" s="4">
        <v>11</v>
      </c>
      <c r="G8" s="4">
        <v>13</v>
      </c>
      <c r="H8" s="4">
        <v>26</v>
      </c>
      <c r="I8" s="4">
        <v>13</v>
      </c>
      <c r="J8" s="4">
        <v>13</v>
      </c>
      <c r="K8" s="4">
        <v>19</v>
      </c>
      <c r="L8" s="4">
        <v>15</v>
      </c>
      <c r="M8" s="4">
        <v>15</v>
      </c>
      <c r="N8" s="4">
        <v>19</v>
      </c>
      <c r="O8" s="4">
        <v>19</v>
      </c>
      <c r="P8" s="2">
        <f t="shared" si="2"/>
        <v>185</v>
      </c>
      <c r="Q8" s="53">
        <f t="shared" si="3"/>
        <v>15.416666666666666</v>
      </c>
      <c r="S8" s="6" t="s">
        <v>48</v>
      </c>
      <c r="T8" s="51">
        <f>(SUMSQ(D14:O14)/(3*3))-T6</f>
        <v>653.85185185185401</v>
      </c>
      <c r="V8" s="3" t="s">
        <v>32</v>
      </c>
      <c r="W8" s="53">
        <f>AVERAGE(W4:W6)</f>
        <v>187</v>
      </c>
      <c r="X8" s="53">
        <f>AVERAGE(X4:X6)</f>
        <v>199</v>
      </c>
      <c r="Y8" s="53">
        <f>AVERAGE(Y4:Y6)</f>
        <v>192.66666666666666</v>
      </c>
      <c r="Z8" s="2"/>
      <c r="AA8" s="53"/>
      <c r="AC8" s="3" t="s">
        <v>70</v>
      </c>
      <c r="AD8" s="2">
        <f>((3*3)-1)*(12-1)</f>
        <v>88</v>
      </c>
      <c r="AE8" s="53">
        <f>T12</f>
        <v>1197.9814814814781</v>
      </c>
      <c r="AF8" s="53">
        <f>AE8/AD8</f>
        <v>13.613425925925888</v>
      </c>
      <c r="AG8" s="53"/>
      <c r="AH8" s="53"/>
      <c r="AI8" s="53"/>
      <c r="AJ8" s="2"/>
      <c r="AK8" s="2"/>
      <c r="AM8" s="2" t="s">
        <v>11</v>
      </c>
      <c r="AN8" s="53">
        <v>13.5</v>
      </c>
      <c r="AO8" s="53" t="s">
        <v>93</v>
      </c>
      <c r="AP8" s="53">
        <f>AN8+AN5</f>
        <v>18.25037562679826</v>
      </c>
      <c r="AQ8" s="51"/>
      <c r="AR8" s="44"/>
      <c r="AS8" s="3" t="s">
        <v>69</v>
      </c>
      <c r="AT8" s="2">
        <f>AT6*AT7</f>
        <v>4</v>
      </c>
      <c r="AU8" s="53">
        <f>AU5-AU6-AU7</f>
        <v>192.31481481481751</v>
      </c>
      <c r="AV8" s="53">
        <f t="shared" si="0"/>
        <v>48.078703703704377</v>
      </c>
      <c r="AW8" s="53">
        <f>AV8/AV9</f>
        <v>3.5317122938276397</v>
      </c>
      <c r="AX8" s="53">
        <f>FINV(AX3,AT8,AT9)</f>
        <v>2.4752774088696223</v>
      </c>
      <c r="AY8" s="53">
        <f>FINV(AY3,AT8,AT9)</f>
        <v>3.5400845421240663</v>
      </c>
      <c r="AZ8" s="2" t="str">
        <f>IF(AW8&gt;AY8,"**",IF(AW8&gt;AX8,"*","TN"))</f>
        <v>*</v>
      </c>
      <c r="BA8" s="2" t="str">
        <f t="shared" si="1"/>
        <v>Nyata</v>
      </c>
    </row>
    <row r="9" spans="1:53" ht="15.5" x14ac:dyDescent="0.3">
      <c r="A9" s="73"/>
      <c r="B9" s="75"/>
      <c r="C9" s="2" t="s">
        <v>13</v>
      </c>
      <c r="D9" s="4">
        <v>17</v>
      </c>
      <c r="E9" s="4">
        <v>17</v>
      </c>
      <c r="F9" s="4">
        <v>23</v>
      </c>
      <c r="G9" s="4">
        <v>16</v>
      </c>
      <c r="H9" s="4">
        <v>14</v>
      </c>
      <c r="I9" s="4">
        <v>12</v>
      </c>
      <c r="J9" s="4">
        <v>15</v>
      </c>
      <c r="K9" s="4">
        <v>20</v>
      </c>
      <c r="L9" s="4">
        <v>26</v>
      </c>
      <c r="M9" s="4">
        <v>27</v>
      </c>
      <c r="N9" s="4">
        <v>21</v>
      </c>
      <c r="O9" s="4">
        <v>17</v>
      </c>
      <c r="P9" s="2">
        <f t="shared" si="2"/>
        <v>225</v>
      </c>
      <c r="Q9" s="53">
        <f t="shared" si="3"/>
        <v>18.75</v>
      </c>
      <c r="S9" s="6" t="s">
        <v>50</v>
      </c>
      <c r="T9" s="51">
        <f>(SUMSQ(W7:Y7)/(12*3))-T6</f>
        <v>18.018518518518249</v>
      </c>
      <c r="AA9" s="51"/>
      <c r="AC9" s="3" t="s">
        <v>33</v>
      </c>
      <c r="AD9" s="2">
        <f>(3*3*12)-1</f>
        <v>107</v>
      </c>
      <c r="AE9" s="53">
        <f>T7</f>
        <v>2209.4074074074088</v>
      </c>
      <c r="AF9" s="53"/>
      <c r="AG9" s="53"/>
      <c r="AH9" s="53"/>
      <c r="AI9" s="53"/>
      <c r="AJ9" s="2"/>
      <c r="AK9" s="2"/>
      <c r="AM9" s="2" t="s">
        <v>10</v>
      </c>
      <c r="AN9" s="53">
        <v>14.083333333333334</v>
      </c>
      <c r="AO9" s="53" t="s">
        <v>99</v>
      </c>
      <c r="AP9" s="53">
        <f>AN9+AN5</f>
        <v>18.833708960131592</v>
      </c>
      <c r="AQ9" s="52"/>
      <c r="AS9" s="3" t="s">
        <v>70</v>
      </c>
      <c r="AT9" s="2">
        <f>AT10-AT4-AT5</f>
        <v>88</v>
      </c>
      <c r="AU9" s="53">
        <f>AU10-AU4-AU5</f>
        <v>1197.9814814814781</v>
      </c>
      <c r="AV9" s="53">
        <f t="shared" si="0"/>
        <v>13.613425925925888</v>
      </c>
      <c r="AW9" s="53"/>
      <c r="AX9" s="53"/>
      <c r="AY9" s="53"/>
      <c r="AZ9" s="2"/>
      <c r="BA9" s="2"/>
    </row>
    <row r="10" spans="1:53" ht="15.5" x14ac:dyDescent="0.3">
      <c r="A10" s="73"/>
      <c r="B10" s="75"/>
      <c r="C10" s="2" t="s">
        <v>14</v>
      </c>
      <c r="D10" s="4">
        <v>14</v>
      </c>
      <c r="E10" s="4">
        <v>14</v>
      </c>
      <c r="F10" s="4">
        <v>25</v>
      </c>
      <c r="G10" s="4">
        <v>17</v>
      </c>
      <c r="H10" s="4">
        <v>11</v>
      </c>
      <c r="I10" s="4">
        <v>11</v>
      </c>
      <c r="J10" s="4">
        <v>17</v>
      </c>
      <c r="K10" s="4">
        <v>21</v>
      </c>
      <c r="L10" s="4">
        <v>11</v>
      </c>
      <c r="M10" s="4">
        <v>12</v>
      </c>
      <c r="N10" s="4">
        <v>17</v>
      </c>
      <c r="O10" s="4">
        <v>15</v>
      </c>
      <c r="P10" s="2">
        <f t="shared" si="2"/>
        <v>185</v>
      </c>
      <c r="Q10" s="53">
        <f t="shared" si="3"/>
        <v>15.416666666666666</v>
      </c>
      <c r="S10" s="6" t="s">
        <v>49</v>
      </c>
      <c r="T10" s="51">
        <f>(SUMSQ(Z4:Z6)/(12*3))-T6</f>
        <v>147.24074074074088</v>
      </c>
      <c r="AA10" s="51"/>
      <c r="AE10" s="51"/>
      <c r="AF10" s="51"/>
      <c r="AG10" s="51"/>
      <c r="AH10" s="51"/>
      <c r="AI10" s="51"/>
      <c r="AM10" s="2" t="s">
        <v>12</v>
      </c>
      <c r="AN10" s="53">
        <v>15.416666666666666</v>
      </c>
      <c r="AO10" s="53" t="s">
        <v>100</v>
      </c>
      <c r="AP10" s="53">
        <f>AN10+AN5</f>
        <v>20.167042293464924</v>
      </c>
      <c r="AQ10" s="52"/>
      <c r="AS10" s="3" t="s">
        <v>33</v>
      </c>
      <c r="AT10" s="2">
        <f>(3*3*12)-1</f>
        <v>107</v>
      </c>
      <c r="AU10" s="53">
        <f>SUMSQ(D5:O13)-AT13</f>
        <v>2209.4074074074088</v>
      </c>
      <c r="AV10" s="53"/>
      <c r="AW10" s="53"/>
      <c r="AX10" s="53"/>
      <c r="AY10" s="53"/>
      <c r="AZ10" s="2"/>
      <c r="BA10" s="2"/>
    </row>
    <row r="11" spans="1:53" ht="15.5" x14ac:dyDescent="0.3">
      <c r="A11" s="73"/>
      <c r="B11" s="75"/>
      <c r="C11" s="2" t="s">
        <v>15</v>
      </c>
      <c r="D11" s="4">
        <v>21</v>
      </c>
      <c r="E11" s="4">
        <v>16</v>
      </c>
      <c r="F11" s="4">
        <v>16</v>
      </c>
      <c r="G11" s="4">
        <v>15</v>
      </c>
      <c r="H11" s="4">
        <v>12</v>
      </c>
      <c r="I11" s="4">
        <v>15</v>
      </c>
      <c r="J11" s="4">
        <v>10</v>
      </c>
      <c r="K11" s="4">
        <v>19</v>
      </c>
      <c r="L11" s="4">
        <v>15</v>
      </c>
      <c r="M11" s="4">
        <v>11</v>
      </c>
      <c r="N11" s="4">
        <v>18</v>
      </c>
      <c r="O11" s="4">
        <v>18</v>
      </c>
      <c r="P11" s="2">
        <f t="shared" si="2"/>
        <v>186</v>
      </c>
      <c r="Q11" s="53">
        <f t="shared" si="3"/>
        <v>15.5</v>
      </c>
      <c r="S11" s="6" t="s">
        <v>51</v>
      </c>
      <c r="T11" s="51">
        <f>(SUMSQ(W4:Y6)/(12))-T6-T9-T10</f>
        <v>192.31481481481751</v>
      </c>
      <c r="AA11" s="51"/>
      <c r="AE11" s="51"/>
      <c r="AF11" s="51"/>
      <c r="AG11" s="51"/>
      <c r="AH11" s="51"/>
      <c r="AI11" s="51"/>
      <c r="AM11" s="2" t="s">
        <v>14</v>
      </c>
      <c r="AN11" s="53">
        <v>15.416666666666666</v>
      </c>
      <c r="AO11" s="53" t="s">
        <v>100</v>
      </c>
      <c r="AP11" s="53">
        <f>AN11+AN5</f>
        <v>20.167042293464924</v>
      </c>
      <c r="AQ11" s="52"/>
    </row>
    <row r="12" spans="1:53" ht="15.5" x14ac:dyDescent="0.3">
      <c r="A12" s="73"/>
      <c r="B12" s="75"/>
      <c r="C12" s="2" t="s">
        <v>16</v>
      </c>
      <c r="D12" s="4">
        <v>21</v>
      </c>
      <c r="E12" s="4">
        <v>20</v>
      </c>
      <c r="F12" s="4">
        <v>18</v>
      </c>
      <c r="G12" s="4">
        <v>19</v>
      </c>
      <c r="H12" s="4">
        <v>16</v>
      </c>
      <c r="I12" s="4">
        <v>13</v>
      </c>
      <c r="J12" s="4">
        <v>14</v>
      </c>
      <c r="K12" s="4">
        <v>17</v>
      </c>
      <c r="L12" s="4">
        <v>20</v>
      </c>
      <c r="M12" s="4">
        <v>16</v>
      </c>
      <c r="N12" s="4">
        <v>15</v>
      </c>
      <c r="O12" s="4">
        <v>14</v>
      </c>
      <c r="P12" s="2">
        <f t="shared" si="2"/>
        <v>203</v>
      </c>
      <c r="Q12" s="53">
        <f t="shared" si="3"/>
        <v>16.916666666666668</v>
      </c>
      <c r="S12" s="6" t="s">
        <v>52</v>
      </c>
      <c r="T12" s="51">
        <f>T7-T8-T9-T10-T11</f>
        <v>1197.9814814814781</v>
      </c>
      <c r="AA12" s="51"/>
      <c r="AE12" s="51"/>
      <c r="AF12" s="51"/>
      <c r="AG12" s="51"/>
      <c r="AH12" s="51"/>
      <c r="AI12" s="51"/>
      <c r="AM12" s="2" t="s">
        <v>15</v>
      </c>
      <c r="AN12" s="53">
        <v>15.5</v>
      </c>
      <c r="AO12" s="53" t="s">
        <v>100</v>
      </c>
      <c r="AP12" s="53">
        <f>AN12+AN5</f>
        <v>20.25037562679826</v>
      </c>
      <c r="AQ12" s="52"/>
    </row>
    <row r="13" spans="1:53" ht="15.5" x14ac:dyDescent="0.3">
      <c r="A13" s="73"/>
      <c r="B13" s="75"/>
      <c r="C13" s="2" t="s">
        <v>17</v>
      </c>
      <c r="D13" s="4">
        <v>20</v>
      </c>
      <c r="E13" s="4">
        <v>26</v>
      </c>
      <c r="F13" s="4">
        <v>14</v>
      </c>
      <c r="G13" s="4">
        <v>21</v>
      </c>
      <c r="H13" s="4">
        <v>15</v>
      </c>
      <c r="I13" s="4">
        <v>12</v>
      </c>
      <c r="J13" s="4">
        <v>17</v>
      </c>
      <c r="K13" s="4">
        <v>18</v>
      </c>
      <c r="L13" s="4">
        <v>30</v>
      </c>
      <c r="M13" s="4">
        <v>18</v>
      </c>
      <c r="N13" s="4">
        <v>18</v>
      </c>
      <c r="O13" s="4">
        <v>22</v>
      </c>
      <c r="P13" s="2">
        <f t="shared" si="2"/>
        <v>231</v>
      </c>
      <c r="Q13" s="53">
        <f t="shared" si="3"/>
        <v>19.25</v>
      </c>
      <c r="AA13" s="51"/>
      <c r="AE13" s="51"/>
      <c r="AF13" s="51"/>
      <c r="AG13" s="51"/>
      <c r="AH13" s="51"/>
      <c r="AI13" s="51"/>
      <c r="AM13" s="2" t="s">
        <v>9</v>
      </c>
      <c r="AN13" s="53">
        <v>15.833333333333334</v>
      </c>
      <c r="AO13" s="53" t="s">
        <v>100</v>
      </c>
      <c r="AP13" s="53">
        <f>AN13+AN5</f>
        <v>20.583708960131592</v>
      </c>
      <c r="AQ13" s="52"/>
      <c r="AS13" s="2" t="s">
        <v>46</v>
      </c>
      <c r="AT13" s="53">
        <f>P14^2/(3*3*12)</f>
        <v>27904.592592592591</v>
      </c>
    </row>
    <row r="14" spans="1:53" x14ac:dyDescent="0.3">
      <c r="A14" s="73"/>
      <c r="B14" s="75"/>
      <c r="C14" s="2" t="s">
        <v>33</v>
      </c>
      <c r="D14" s="2">
        <f>SUM(D5:D13)</f>
        <v>148</v>
      </c>
      <c r="E14" s="2">
        <f t="shared" ref="E14:O14" si="4">SUM(E5:E13)</f>
        <v>155</v>
      </c>
      <c r="F14" s="2">
        <f t="shared" si="4"/>
        <v>163</v>
      </c>
      <c r="G14" s="2">
        <f t="shared" si="4"/>
        <v>154</v>
      </c>
      <c r="H14" s="2">
        <f t="shared" si="4"/>
        <v>127</v>
      </c>
      <c r="I14" s="2">
        <f t="shared" si="4"/>
        <v>99</v>
      </c>
      <c r="J14" s="2">
        <f t="shared" si="4"/>
        <v>110</v>
      </c>
      <c r="K14" s="2">
        <f t="shared" si="4"/>
        <v>152</v>
      </c>
      <c r="L14" s="2">
        <f t="shared" si="4"/>
        <v>182</v>
      </c>
      <c r="M14" s="2">
        <f t="shared" si="4"/>
        <v>136</v>
      </c>
      <c r="N14" s="2">
        <f t="shared" si="4"/>
        <v>157</v>
      </c>
      <c r="O14" s="2">
        <f t="shared" si="4"/>
        <v>153</v>
      </c>
      <c r="P14" s="2">
        <f>SUM(P5:P13)</f>
        <v>1736</v>
      </c>
      <c r="Q14" s="53"/>
      <c r="AA14" s="51"/>
      <c r="AE14" s="51"/>
      <c r="AF14" s="51"/>
      <c r="AG14" s="51"/>
      <c r="AH14" s="51"/>
      <c r="AI14" s="51"/>
      <c r="AM14" s="2" t="s">
        <v>16</v>
      </c>
      <c r="AN14" s="53">
        <v>16.916666666666668</v>
      </c>
      <c r="AO14" s="53" t="s">
        <v>100</v>
      </c>
      <c r="AP14" s="53">
        <f>AN14+AN5</f>
        <v>21.667042293464927</v>
      </c>
      <c r="AQ14" s="52"/>
    </row>
    <row r="15" spans="1:53" x14ac:dyDescent="0.3">
      <c r="A15" s="66"/>
      <c r="B15" s="76"/>
      <c r="C15" s="2" t="s">
        <v>32</v>
      </c>
      <c r="D15" s="53">
        <f>AVERAGE(D5:D13)</f>
        <v>16.444444444444443</v>
      </c>
      <c r="E15" s="53">
        <f t="shared" ref="E15:O15" si="5">AVERAGE(E5:E13)</f>
        <v>17.222222222222221</v>
      </c>
      <c r="F15" s="53">
        <f t="shared" si="5"/>
        <v>18.111111111111111</v>
      </c>
      <c r="G15" s="53">
        <f t="shared" si="5"/>
        <v>17.111111111111111</v>
      </c>
      <c r="H15" s="53">
        <f t="shared" si="5"/>
        <v>14.111111111111111</v>
      </c>
      <c r="I15" s="53">
        <f t="shared" si="5"/>
        <v>11</v>
      </c>
      <c r="J15" s="53">
        <f t="shared" si="5"/>
        <v>12.222222222222221</v>
      </c>
      <c r="K15" s="53">
        <f t="shared" si="5"/>
        <v>16.888888888888889</v>
      </c>
      <c r="L15" s="53">
        <f t="shared" si="5"/>
        <v>20.222222222222221</v>
      </c>
      <c r="M15" s="53">
        <f t="shared" si="5"/>
        <v>15.111111111111111</v>
      </c>
      <c r="N15" s="53">
        <f t="shared" si="5"/>
        <v>17.444444444444443</v>
      </c>
      <c r="O15" s="53">
        <f t="shared" si="5"/>
        <v>17</v>
      </c>
      <c r="P15" s="2"/>
      <c r="Q15" s="53"/>
      <c r="AA15" s="51"/>
      <c r="AE15" s="51"/>
      <c r="AF15" s="51"/>
      <c r="AG15" s="51"/>
      <c r="AH15" s="51"/>
      <c r="AI15" s="51"/>
      <c r="AM15" s="2" t="s">
        <v>13</v>
      </c>
      <c r="AN15" s="53">
        <v>18.75</v>
      </c>
      <c r="AO15" s="53" t="s">
        <v>101</v>
      </c>
      <c r="AP15" s="53">
        <f>AN15+AN5</f>
        <v>23.50037562679826</v>
      </c>
      <c r="AQ15" s="52"/>
    </row>
    <row r="16" spans="1:53" x14ac:dyDescent="0.3">
      <c r="Q16" s="51"/>
      <c r="AA16" s="51"/>
      <c r="AE16" s="51"/>
      <c r="AF16" s="51"/>
      <c r="AG16" s="51"/>
      <c r="AH16" s="51"/>
      <c r="AI16" s="51"/>
      <c r="AM16" s="2" t="s">
        <v>17</v>
      </c>
      <c r="AN16" s="53">
        <v>19.25</v>
      </c>
      <c r="AO16" s="53" t="s">
        <v>102</v>
      </c>
      <c r="AP16" s="53">
        <f>AN16+AN5</f>
        <v>24.00037562679826</v>
      </c>
      <c r="AQ16" s="52"/>
      <c r="AS16" s="6" t="s">
        <v>97</v>
      </c>
    </row>
    <row r="17" spans="1:53" x14ac:dyDescent="0.3">
      <c r="A17" s="3" t="s">
        <v>18</v>
      </c>
      <c r="B17" s="3" t="s">
        <v>20</v>
      </c>
      <c r="C17" s="65" t="s">
        <v>0</v>
      </c>
      <c r="D17" s="70" t="s">
        <v>1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65" t="s">
        <v>33</v>
      </c>
      <c r="Q17" s="67" t="s">
        <v>32</v>
      </c>
      <c r="V17" s="65" t="s">
        <v>53</v>
      </c>
      <c r="W17" s="70" t="s">
        <v>54</v>
      </c>
      <c r="X17" s="71"/>
      <c r="Y17" s="72"/>
      <c r="Z17" s="65" t="s">
        <v>33</v>
      </c>
      <c r="AA17" s="67" t="s">
        <v>32</v>
      </c>
      <c r="AC17" s="65" t="s">
        <v>61</v>
      </c>
      <c r="AD17" s="65"/>
      <c r="AE17" s="67" t="s">
        <v>63</v>
      </c>
      <c r="AF17" s="67" t="s">
        <v>64</v>
      </c>
      <c r="AG17" s="67" t="s">
        <v>65</v>
      </c>
      <c r="AH17" s="64" t="s">
        <v>66</v>
      </c>
      <c r="AI17" s="64"/>
      <c r="AJ17" s="65" t="s">
        <v>67</v>
      </c>
      <c r="AK17" s="65" t="s">
        <v>68</v>
      </c>
      <c r="AS17" s="65" t="s">
        <v>61</v>
      </c>
      <c r="AT17" s="65" t="s">
        <v>62</v>
      </c>
      <c r="AU17" s="65" t="s">
        <v>63</v>
      </c>
      <c r="AV17" s="65" t="s">
        <v>64</v>
      </c>
      <c r="AW17" s="65" t="s">
        <v>65</v>
      </c>
      <c r="AX17" s="69" t="s">
        <v>66</v>
      </c>
      <c r="AY17" s="69"/>
      <c r="AZ17" s="65" t="s">
        <v>67</v>
      </c>
      <c r="BA17" s="65" t="s">
        <v>68</v>
      </c>
    </row>
    <row r="18" spans="1:53" x14ac:dyDescent="0.3">
      <c r="A18" s="65">
        <v>2</v>
      </c>
      <c r="B18" s="74" t="s">
        <v>34</v>
      </c>
      <c r="C18" s="73"/>
      <c r="D18" s="70" t="s">
        <v>2</v>
      </c>
      <c r="E18" s="71"/>
      <c r="F18" s="71"/>
      <c r="G18" s="72"/>
      <c r="H18" s="70" t="s">
        <v>7</v>
      </c>
      <c r="I18" s="71"/>
      <c r="J18" s="71"/>
      <c r="K18" s="72"/>
      <c r="L18" s="70" t="s">
        <v>8</v>
      </c>
      <c r="M18" s="71"/>
      <c r="N18" s="71"/>
      <c r="O18" s="72"/>
      <c r="P18" s="73"/>
      <c r="Q18" s="77"/>
      <c r="S18" s="6" t="s">
        <v>71</v>
      </c>
      <c r="T18" s="6">
        <v>12</v>
      </c>
      <c r="V18" s="66"/>
      <c r="W18" s="3" t="s">
        <v>55</v>
      </c>
      <c r="X18" s="3" t="s">
        <v>56</v>
      </c>
      <c r="Y18" s="3" t="s">
        <v>57</v>
      </c>
      <c r="Z18" s="66"/>
      <c r="AA18" s="68"/>
      <c r="AC18" s="66"/>
      <c r="AD18" s="66"/>
      <c r="AE18" s="68"/>
      <c r="AF18" s="68"/>
      <c r="AG18" s="68"/>
      <c r="AH18" s="59">
        <v>0.05</v>
      </c>
      <c r="AI18" s="59">
        <v>0.01</v>
      </c>
      <c r="AJ18" s="66"/>
      <c r="AK18" s="66"/>
      <c r="AM18" s="78" t="s">
        <v>80</v>
      </c>
      <c r="AN18" s="78"/>
      <c r="AS18" s="66"/>
      <c r="AT18" s="66"/>
      <c r="AU18" s="66"/>
      <c r="AV18" s="66"/>
      <c r="AW18" s="66"/>
      <c r="AX18" s="42">
        <v>0.05</v>
      </c>
      <c r="AY18" s="42">
        <v>0.01</v>
      </c>
      <c r="AZ18" s="66"/>
      <c r="BA18" s="66"/>
    </row>
    <row r="19" spans="1:53" x14ac:dyDescent="0.3">
      <c r="A19" s="73"/>
      <c r="B19" s="75"/>
      <c r="C19" s="66"/>
      <c r="D19" s="3" t="s">
        <v>3</v>
      </c>
      <c r="E19" s="3" t="s">
        <v>4</v>
      </c>
      <c r="F19" s="3" t="s">
        <v>5</v>
      </c>
      <c r="G19" s="3" t="s">
        <v>6</v>
      </c>
      <c r="H19" s="3" t="s">
        <v>3</v>
      </c>
      <c r="I19" s="3" t="s">
        <v>4</v>
      </c>
      <c r="J19" s="3" t="s">
        <v>5</v>
      </c>
      <c r="K19" s="3" t="s">
        <v>6</v>
      </c>
      <c r="L19" s="3" t="s">
        <v>3</v>
      </c>
      <c r="M19" s="3" t="s">
        <v>4</v>
      </c>
      <c r="N19" s="3" t="s">
        <v>5</v>
      </c>
      <c r="O19" s="3" t="s">
        <v>6</v>
      </c>
      <c r="P19" s="66"/>
      <c r="Q19" s="68"/>
      <c r="S19" s="6" t="s">
        <v>44</v>
      </c>
      <c r="T19" s="6">
        <v>3</v>
      </c>
      <c r="V19" s="3" t="s">
        <v>58</v>
      </c>
      <c r="W19" s="2">
        <f>SUM(D20:O20)</f>
        <v>435</v>
      </c>
      <c r="X19" s="2">
        <f>SUM(D21:O21)</f>
        <v>307</v>
      </c>
      <c r="Y19" s="2">
        <f>SUM(D22:O22)</f>
        <v>332</v>
      </c>
      <c r="Z19" s="2">
        <f>SUM(W19:Y19)</f>
        <v>1074</v>
      </c>
      <c r="AA19" s="53">
        <f>AVERAGE(W19:Y19)</f>
        <v>358</v>
      </c>
      <c r="AC19" s="3" t="s">
        <v>43</v>
      </c>
      <c r="AD19" s="2">
        <f>12-1</f>
        <v>11</v>
      </c>
      <c r="AE19" s="53">
        <f>T23</f>
        <v>843.65740740740148</v>
      </c>
      <c r="AF19" s="53">
        <f>AE19/AD19</f>
        <v>76.696127946127405</v>
      </c>
      <c r="AG19" s="53">
        <f>AF19/AF23</f>
        <v>1.9102077611689778</v>
      </c>
      <c r="AH19" s="53">
        <f>FINV(AH18,AD19,AD23)</f>
        <v>1.8991710184693407</v>
      </c>
      <c r="AI19" s="53">
        <f>FINV(AI18,AD19,AD23)</f>
        <v>2.4560580535880434</v>
      </c>
      <c r="AJ19" s="30" t="s">
        <v>72</v>
      </c>
      <c r="AK19" s="2"/>
      <c r="AM19" s="2" t="s">
        <v>79</v>
      </c>
      <c r="AN19" s="54">
        <f>SQRT(AF23/12)</f>
        <v>1.8291772604250598</v>
      </c>
      <c r="AO19" s="51"/>
      <c r="AP19" s="55" t="s">
        <v>83</v>
      </c>
      <c r="AS19" s="3" t="s">
        <v>43</v>
      </c>
      <c r="AT19" s="2">
        <f>12-1</f>
        <v>11</v>
      </c>
      <c r="AU19" s="6">
        <f>SUMSQ(D29:O29)/(3*3)-AT28</f>
        <v>843.65740740740148</v>
      </c>
      <c r="AV19" s="53">
        <f>AU19/AT19</f>
        <v>76.696127946127405</v>
      </c>
      <c r="AW19" s="53">
        <f>AV19/AV24</f>
        <v>1.9102077611689778</v>
      </c>
      <c r="AX19" s="53">
        <f>FINV(AX18,AT19,AT24)</f>
        <v>1.8991710184693407</v>
      </c>
      <c r="AY19" s="53">
        <f>FINV(AY18,AT19,AT24)</f>
        <v>2.4560580535880434</v>
      </c>
      <c r="AZ19" s="2" t="str">
        <f>IF(AW19&gt;AY19,"**",IF(AW19&gt;AX19,"*","TN"))</f>
        <v>*</v>
      </c>
      <c r="BA19" s="2" t="str">
        <f>IF(AZ19="TN","Tidak Nyata",IF(AZ19="*","Nyata",IF(AZ19="**","Sangat Nyata",0)))</f>
        <v>Nyata</v>
      </c>
    </row>
    <row r="20" spans="1:53" ht="15.5" x14ac:dyDescent="0.3">
      <c r="A20" s="73"/>
      <c r="B20" s="75"/>
      <c r="C20" s="2" t="s">
        <v>9</v>
      </c>
      <c r="D20" s="4">
        <v>32</v>
      </c>
      <c r="E20" s="4">
        <v>32</v>
      </c>
      <c r="F20" s="4">
        <v>49</v>
      </c>
      <c r="G20" s="4">
        <v>47</v>
      </c>
      <c r="H20" s="4">
        <v>15</v>
      </c>
      <c r="I20" s="4">
        <v>40</v>
      </c>
      <c r="J20" s="4">
        <v>29</v>
      </c>
      <c r="K20" s="4">
        <v>39</v>
      </c>
      <c r="L20" s="4">
        <v>34</v>
      </c>
      <c r="M20" s="4">
        <v>47</v>
      </c>
      <c r="N20" s="4">
        <v>31</v>
      </c>
      <c r="O20" s="4">
        <v>40</v>
      </c>
      <c r="P20" s="2">
        <f>SUM(D20:O20)</f>
        <v>435</v>
      </c>
      <c r="Q20" s="53">
        <f>AVERAGE(D20:O20)</f>
        <v>36.25</v>
      </c>
      <c r="S20" s="6" t="s">
        <v>45</v>
      </c>
      <c r="T20" s="6">
        <v>3</v>
      </c>
      <c r="V20" s="3" t="s">
        <v>59</v>
      </c>
      <c r="W20" s="2">
        <f>SUM(D23:O23)</f>
        <v>376</v>
      </c>
      <c r="X20" s="2">
        <f>SUM(D24:O24)</f>
        <v>419</v>
      </c>
      <c r="Y20" s="2">
        <f>SUM(D25:O25)</f>
        <v>392</v>
      </c>
      <c r="Z20" s="2">
        <f>SUM(W20:Y20)</f>
        <v>1187</v>
      </c>
      <c r="AA20" s="53">
        <f>AVERAGE(W20:Y20)</f>
        <v>395.66666666666669</v>
      </c>
      <c r="AC20" s="3" t="s">
        <v>45</v>
      </c>
      <c r="AD20" s="2">
        <f>3-1</f>
        <v>2</v>
      </c>
      <c r="AE20" s="53">
        <f>T24</f>
        <v>89.18518518518249</v>
      </c>
      <c r="AF20" s="53">
        <f>AE20/AD20</f>
        <v>44.592592592591245</v>
      </c>
      <c r="AG20" s="53">
        <f>AF20/AF23</f>
        <v>1.110631250130993</v>
      </c>
      <c r="AH20" s="53">
        <f>FINV(AH18,AD20,AD23)</f>
        <v>3.1000686386371408</v>
      </c>
      <c r="AI20" s="53">
        <f>FINV(AI18,AD20,AD23)</f>
        <v>4.8547979993760721</v>
      </c>
      <c r="AJ20" s="30" t="s">
        <v>95</v>
      </c>
      <c r="AK20" s="2"/>
      <c r="AM20" s="2" t="s">
        <v>75</v>
      </c>
      <c r="AN20" s="54">
        <v>4.46</v>
      </c>
      <c r="AO20" s="51"/>
      <c r="AP20" s="51"/>
      <c r="AS20" s="3" t="s">
        <v>98</v>
      </c>
      <c r="AT20" s="2">
        <f>3*3-1</f>
        <v>8</v>
      </c>
      <c r="AU20" s="53">
        <f>SUMSQ(P20:P28)/12-AT28</f>
        <v>1298.74074074073</v>
      </c>
      <c r="AV20" s="53">
        <f t="shared" ref="AV20:AV24" si="6">AU20/AT20</f>
        <v>162.34259259259125</v>
      </c>
      <c r="AW20" s="53">
        <f>AV20/AV24</f>
        <v>4.0433342418079583</v>
      </c>
      <c r="AX20" s="53">
        <f>FINV(AX18,AT20,AT24)</f>
        <v>2.0454143150341193</v>
      </c>
      <c r="AY20" s="53">
        <f>FINV(AY18,AT20,AT24)</f>
        <v>2.720181875728696</v>
      </c>
      <c r="AZ20" s="2" t="str">
        <f>IF(AW20&gt;AY20,"**",IF(AW20&gt;AX20,"*","TN"))</f>
        <v>**</v>
      </c>
      <c r="BA20" s="2" t="str">
        <f t="shared" ref="BA20:BA23" si="7">IF(AZ20="TN","Tidak Nyata",IF(AZ20="*","Nyata",IF(AZ20="**","Sangat Nyata",0)))</f>
        <v>Sangat Nyata</v>
      </c>
    </row>
    <row r="21" spans="1:53" x14ac:dyDescent="0.3">
      <c r="A21" s="73"/>
      <c r="B21" s="75"/>
      <c r="C21" s="2" t="s">
        <v>10</v>
      </c>
      <c r="D21" s="50">
        <v>20</v>
      </c>
      <c r="E21" s="50">
        <v>22</v>
      </c>
      <c r="F21" s="50">
        <v>26</v>
      </c>
      <c r="G21" s="50">
        <v>32</v>
      </c>
      <c r="H21" s="50">
        <v>24</v>
      </c>
      <c r="I21" s="50">
        <v>22</v>
      </c>
      <c r="J21" s="50">
        <v>25</v>
      </c>
      <c r="K21" s="50">
        <v>24</v>
      </c>
      <c r="L21" s="50">
        <v>28</v>
      </c>
      <c r="M21" s="50">
        <v>30</v>
      </c>
      <c r="N21" s="50">
        <v>28</v>
      </c>
      <c r="O21" s="50">
        <v>26</v>
      </c>
      <c r="P21" s="2">
        <f t="shared" ref="P21:P29" si="8">SUM(D21:O21)</f>
        <v>307</v>
      </c>
      <c r="Q21" s="53">
        <f t="shared" ref="Q21:Q28" si="9">AVERAGE(D21:O21)</f>
        <v>25.583333333333332</v>
      </c>
      <c r="S21" s="6" t="s">
        <v>46</v>
      </c>
      <c r="T21" s="51">
        <f>(P29^2)/(12*3*3)</f>
        <v>112843.3425925926</v>
      </c>
      <c r="V21" s="3" t="s">
        <v>60</v>
      </c>
      <c r="W21" s="2">
        <f>SUM(D26:O26)</f>
        <v>394</v>
      </c>
      <c r="X21" s="2">
        <f>SUM(D27:O27)</f>
        <v>399</v>
      </c>
      <c r="Y21" s="2">
        <f>SUM(D28:O28)</f>
        <v>437</v>
      </c>
      <c r="Z21" s="2">
        <f>SUM(W21:Y21)</f>
        <v>1230</v>
      </c>
      <c r="AA21" s="53">
        <f>AVERAGE(W21:Y21)</f>
        <v>410</v>
      </c>
      <c r="AC21" s="3" t="s">
        <v>44</v>
      </c>
      <c r="AD21" s="2">
        <f>3-1</f>
        <v>2</v>
      </c>
      <c r="AE21" s="53">
        <f>T25</f>
        <v>360.68518518518249</v>
      </c>
      <c r="AF21" s="53">
        <f>AE21/AD21</f>
        <v>180.34259259259125</v>
      </c>
      <c r="AG21" s="53">
        <f>AF21/AF23</f>
        <v>4.491645527159851</v>
      </c>
      <c r="AH21" s="53">
        <f>FINV(AH18,AD21,AD23)</f>
        <v>3.1000686386371408</v>
      </c>
      <c r="AI21" s="53">
        <f>FINV(AI18,AD21,AD23)</f>
        <v>4.8547979993760721</v>
      </c>
      <c r="AJ21" s="30" t="s">
        <v>72</v>
      </c>
      <c r="AK21" s="2"/>
      <c r="AM21" s="2" t="s">
        <v>76</v>
      </c>
      <c r="AN21" s="54">
        <f>AN20*AN19</f>
        <v>8.158130581495767</v>
      </c>
      <c r="AO21" s="51"/>
      <c r="AP21" s="51"/>
      <c r="AS21" s="3" t="s">
        <v>45</v>
      </c>
      <c r="AT21" s="2">
        <f>3-1</f>
        <v>2</v>
      </c>
      <c r="AU21" s="53">
        <f>SUMSQ(W22:Y22)/(3*12)-AT28</f>
        <v>89.18518518518249</v>
      </c>
      <c r="AV21" s="53">
        <f t="shared" si="6"/>
        <v>44.592592592591245</v>
      </c>
      <c r="AW21" s="53">
        <f>AV21/AV24</f>
        <v>1.110631250130993</v>
      </c>
      <c r="AX21" s="53">
        <f>FINV(AX18,AT21,AT24)</f>
        <v>3.1000686386371408</v>
      </c>
      <c r="AY21" s="53">
        <f>FINV(AY18,AT21,AT24)</f>
        <v>4.8547979993760721</v>
      </c>
      <c r="AZ21" s="2" t="str">
        <f>IF(AW21&gt;AY21,"**",IF(AW21&gt;AX21,"*","TN"))</f>
        <v>TN</v>
      </c>
      <c r="BA21" s="2" t="str">
        <f t="shared" si="7"/>
        <v>Tidak Nyata</v>
      </c>
    </row>
    <row r="22" spans="1:53" x14ac:dyDescent="0.3">
      <c r="A22" s="73"/>
      <c r="B22" s="75"/>
      <c r="C22" s="2" t="s">
        <v>11</v>
      </c>
      <c r="D22" s="50">
        <v>23</v>
      </c>
      <c r="E22" s="50">
        <v>24</v>
      </c>
      <c r="F22" s="50">
        <v>24</v>
      </c>
      <c r="G22" s="50">
        <v>26</v>
      </c>
      <c r="H22" s="50">
        <v>30</v>
      </c>
      <c r="I22" s="50">
        <v>29</v>
      </c>
      <c r="J22" s="50">
        <v>27</v>
      </c>
      <c r="K22" s="50">
        <v>29</v>
      </c>
      <c r="L22" s="50">
        <v>25</v>
      </c>
      <c r="M22" s="50">
        <v>26</v>
      </c>
      <c r="N22" s="50">
        <v>31</v>
      </c>
      <c r="O22" s="50">
        <v>38</v>
      </c>
      <c r="P22" s="2">
        <f t="shared" si="8"/>
        <v>332</v>
      </c>
      <c r="Q22" s="53">
        <f t="shared" si="9"/>
        <v>27.666666666666668</v>
      </c>
      <c r="S22" s="6" t="s">
        <v>47</v>
      </c>
      <c r="T22" s="51">
        <f>SUMSQ(D20:O28)-T21</f>
        <v>5675.6574074074015</v>
      </c>
      <c r="V22" s="3" t="s">
        <v>33</v>
      </c>
      <c r="W22" s="2">
        <f>SUM(W19:W21)</f>
        <v>1205</v>
      </c>
      <c r="X22" s="2">
        <f>SUM(X19:X21)</f>
        <v>1125</v>
      </c>
      <c r="Y22" s="2">
        <f>SUM(Y19:Y21)</f>
        <v>1161</v>
      </c>
      <c r="Z22" s="2">
        <f>SUM(W22:Y22)</f>
        <v>3491</v>
      </c>
      <c r="AA22" s="53">
        <f>AVERAGE(W22:Y22)</f>
        <v>1163.6666666666667</v>
      </c>
      <c r="AC22" s="3" t="s">
        <v>69</v>
      </c>
      <c r="AD22" s="2">
        <f>(3-1)*(3-1)</f>
        <v>4</v>
      </c>
      <c r="AE22" s="53">
        <f>T26</f>
        <v>848.87037037036498</v>
      </c>
      <c r="AF22" s="53">
        <f>AE22/AD22</f>
        <v>212.21759259259125</v>
      </c>
      <c r="AG22" s="53">
        <f>AF22/AF23</f>
        <v>5.2855300949704942</v>
      </c>
      <c r="AH22" s="53">
        <f>FINV(AH18,AD22,AD23)</f>
        <v>2.4752774088696223</v>
      </c>
      <c r="AI22" s="53">
        <f>FINV(AI18,AD22,AD23)</f>
        <v>3.5400845421240663</v>
      </c>
      <c r="AJ22" s="30" t="s">
        <v>72</v>
      </c>
      <c r="AK22" s="2"/>
      <c r="AN22" s="56"/>
      <c r="AO22" s="51"/>
      <c r="AP22" s="51"/>
      <c r="AS22" s="3" t="s">
        <v>44</v>
      </c>
      <c r="AT22" s="2">
        <f>3-1</f>
        <v>2</v>
      </c>
      <c r="AU22" s="53">
        <f>SUMSQ(Z19:Z21)/(3*12)-AT28</f>
        <v>360.68518518518249</v>
      </c>
      <c r="AV22" s="53">
        <f t="shared" si="6"/>
        <v>180.34259259259125</v>
      </c>
      <c r="AW22" s="53">
        <f>AV22/AV24</f>
        <v>4.491645527159851</v>
      </c>
      <c r="AX22" s="53">
        <f>FINV(AX18,AT22,AT24)</f>
        <v>3.1000686386371408</v>
      </c>
      <c r="AY22" s="53">
        <f>FINV(AY18,AT22,AT24)</f>
        <v>4.8547979993760721</v>
      </c>
      <c r="AZ22" s="2" t="str">
        <f>IF(AW22&gt;AY22,"**",IF(AW22&gt;AX22,"*","TN"))</f>
        <v>*</v>
      </c>
      <c r="BA22" s="2" t="str">
        <f t="shared" si="7"/>
        <v>Nyata</v>
      </c>
    </row>
    <row r="23" spans="1:53" ht="15.5" x14ac:dyDescent="0.3">
      <c r="A23" s="73"/>
      <c r="B23" s="75"/>
      <c r="C23" s="2" t="s">
        <v>12</v>
      </c>
      <c r="D23" s="4">
        <v>25</v>
      </c>
      <c r="E23" s="4">
        <v>17</v>
      </c>
      <c r="F23" s="4">
        <v>16</v>
      </c>
      <c r="G23" s="4">
        <v>33</v>
      </c>
      <c r="H23" s="4">
        <v>34</v>
      </c>
      <c r="I23" s="4">
        <v>49</v>
      </c>
      <c r="J23" s="4">
        <v>36</v>
      </c>
      <c r="K23" s="4">
        <v>40</v>
      </c>
      <c r="L23" s="4">
        <v>40</v>
      </c>
      <c r="M23" s="4">
        <v>25</v>
      </c>
      <c r="N23" s="4">
        <v>34</v>
      </c>
      <c r="O23" s="4">
        <v>27</v>
      </c>
      <c r="P23" s="2">
        <f t="shared" si="8"/>
        <v>376</v>
      </c>
      <c r="Q23" s="53">
        <f t="shared" si="9"/>
        <v>31.333333333333332</v>
      </c>
      <c r="S23" s="6" t="s">
        <v>48</v>
      </c>
      <c r="T23" s="51">
        <f>(SUMSQ(D29:O29)/(3*3))-T21</f>
        <v>843.65740740740148</v>
      </c>
      <c r="V23" s="3" t="s">
        <v>32</v>
      </c>
      <c r="W23" s="53">
        <f>AVERAGE(W19:W21)</f>
        <v>401.66666666666669</v>
      </c>
      <c r="X23" s="53">
        <f>AVERAGE(X19:X21)</f>
        <v>375</v>
      </c>
      <c r="Y23" s="53">
        <f>AVERAGE(Y19:Y21)</f>
        <v>387</v>
      </c>
      <c r="Z23" s="2"/>
      <c r="AA23" s="53"/>
      <c r="AC23" s="3" t="s">
        <v>70</v>
      </c>
      <c r="AD23" s="2">
        <f>((3*3)-1)*(12-1)</f>
        <v>88</v>
      </c>
      <c r="AE23" s="53">
        <f>T27</f>
        <v>3533.25925925927</v>
      </c>
      <c r="AF23" s="53">
        <f>AE23/AD23</f>
        <v>40.150673400673526</v>
      </c>
      <c r="AG23" s="53"/>
      <c r="AH23" s="53"/>
      <c r="AI23" s="53"/>
      <c r="AJ23" s="2"/>
      <c r="AK23" s="2"/>
      <c r="AM23" s="2" t="s">
        <v>81</v>
      </c>
      <c r="AN23" s="53" t="s">
        <v>32</v>
      </c>
      <c r="AO23" s="53" t="s">
        <v>67</v>
      </c>
      <c r="AP23" s="53" t="s">
        <v>77</v>
      </c>
      <c r="AS23" s="3" t="s">
        <v>69</v>
      </c>
      <c r="AT23" s="2">
        <f>AT21*AT22</f>
        <v>4</v>
      </c>
      <c r="AU23" s="53">
        <f>AU20-AU21-AU22</f>
        <v>848.87037037036498</v>
      </c>
      <c r="AV23" s="53">
        <f t="shared" si="6"/>
        <v>212.21759259259125</v>
      </c>
      <c r="AW23" s="53">
        <f>AV23/AV24</f>
        <v>5.2855300949704942</v>
      </c>
      <c r="AX23" s="53">
        <f>FINV(AX18,AT23,AT24)</f>
        <v>2.4752774088696223</v>
      </c>
      <c r="AY23" s="53">
        <f>FINV(AY18,AT23,AT24)</f>
        <v>3.5400845421240663</v>
      </c>
      <c r="AZ23" s="2" t="str">
        <f>IF(AW23&gt;AY23,"**",IF(AW23&gt;AX23,"*","TN"))</f>
        <v>**</v>
      </c>
      <c r="BA23" s="2" t="str">
        <f t="shared" si="7"/>
        <v>Sangat Nyata</v>
      </c>
    </row>
    <row r="24" spans="1:53" ht="15.5" x14ac:dyDescent="0.3">
      <c r="A24" s="73"/>
      <c r="B24" s="75"/>
      <c r="C24" s="2" t="s">
        <v>13</v>
      </c>
      <c r="D24" s="4">
        <v>33</v>
      </c>
      <c r="E24" s="4">
        <v>27</v>
      </c>
      <c r="F24" s="4">
        <v>42</v>
      </c>
      <c r="G24" s="4">
        <v>35</v>
      </c>
      <c r="H24" s="4">
        <v>38</v>
      </c>
      <c r="I24" s="4">
        <v>45</v>
      </c>
      <c r="J24" s="4">
        <v>33</v>
      </c>
      <c r="K24" s="4">
        <v>42</v>
      </c>
      <c r="L24" s="4">
        <v>33</v>
      </c>
      <c r="M24" s="4">
        <v>37</v>
      </c>
      <c r="N24" s="4">
        <v>24</v>
      </c>
      <c r="O24" s="4">
        <v>30</v>
      </c>
      <c r="P24" s="2">
        <f t="shared" si="8"/>
        <v>419</v>
      </c>
      <c r="Q24" s="53">
        <f t="shared" si="9"/>
        <v>34.916666666666664</v>
      </c>
      <c r="S24" s="6" t="s">
        <v>50</v>
      </c>
      <c r="T24" s="51">
        <f>(SUMSQ(W22:Y22)/(12*3))-T21</f>
        <v>89.18518518518249</v>
      </c>
      <c r="AA24" s="51"/>
      <c r="AC24" s="3" t="s">
        <v>33</v>
      </c>
      <c r="AD24" s="2">
        <f>(3*3*12)-1</f>
        <v>107</v>
      </c>
      <c r="AE24" s="53">
        <f>T22</f>
        <v>5675.6574074074015</v>
      </c>
      <c r="AF24" s="53"/>
      <c r="AG24" s="53"/>
      <c r="AH24" s="53"/>
      <c r="AI24" s="53"/>
      <c r="AJ24" s="2"/>
      <c r="AK24" s="2"/>
      <c r="AM24" s="32" t="s">
        <v>10</v>
      </c>
      <c r="AN24" s="53">
        <v>25.583333333333332</v>
      </c>
      <c r="AO24" s="53" t="s">
        <v>93</v>
      </c>
      <c r="AP24" s="53">
        <f>AN24+AN21</f>
        <v>33.741463914829097</v>
      </c>
      <c r="AS24" s="3" t="s">
        <v>70</v>
      </c>
      <c r="AT24" s="2">
        <f>AT25-AT19-AT20</f>
        <v>88</v>
      </c>
      <c r="AU24" s="53">
        <f>AU25-AU19-AU20</f>
        <v>3533.25925925927</v>
      </c>
      <c r="AV24" s="53">
        <f t="shared" si="6"/>
        <v>40.150673400673526</v>
      </c>
      <c r="AW24" s="53"/>
      <c r="AX24" s="53"/>
      <c r="AY24" s="53"/>
      <c r="AZ24" s="2"/>
      <c r="BA24" s="2"/>
    </row>
    <row r="25" spans="1:53" ht="15.5" x14ac:dyDescent="0.3">
      <c r="A25" s="73"/>
      <c r="B25" s="75"/>
      <c r="C25" s="2" t="s">
        <v>14</v>
      </c>
      <c r="D25" s="4">
        <v>23</v>
      </c>
      <c r="E25" s="4">
        <v>28</v>
      </c>
      <c r="F25" s="4">
        <v>33</v>
      </c>
      <c r="G25" s="4">
        <v>35</v>
      </c>
      <c r="H25" s="4">
        <v>41</v>
      </c>
      <c r="I25" s="4">
        <v>38</v>
      </c>
      <c r="J25" s="4">
        <v>39</v>
      </c>
      <c r="K25" s="4">
        <v>40</v>
      </c>
      <c r="L25" s="4">
        <v>25</v>
      </c>
      <c r="M25" s="4">
        <v>29</v>
      </c>
      <c r="N25" s="4">
        <v>32</v>
      </c>
      <c r="O25" s="4">
        <v>29</v>
      </c>
      <c r="P25" s="2">
        <f t="shared" si="8"/>
        <v>392</v>
      </c>
      <c r="Q25" s="53">
        <f t="shared" si="9"/>
        <v>32.666666666666664</v>
      </c>
      <c r="S25" s="6" t="s">
        <v>49</v>
      </c>
      <c r="T25" s="51">
        <f>(SUMSQ(Z19:Z21)/(12*3))-T21</f>
        <v>360.68518518518249</v>
      </c>
      <c r="AA25" s="51"/>
      <c r="AE25" s="51"/>
      <c r="AF25" s="51"/>
      <c r="AG25" s="51"/>
      <c r="AH25" s="51"/>
      <c r="AI25" s="51"/>
      <c r="AM25" s="32" t="s">
        <v>11</v>
      </c>
      <c r="AN25" s="53">
        <v>27.666666666666668</v>
      </c>
      <c r="AO25" s="53" t="s">
        <v>99</v>
      </c>
      <c r="AP25" s="53">
        <f>AN25+AN21</f>
        <v>35.824797248162433</v>
      </c>
      <c r="AS25" s="3" t="s">
        <v>33</v>
      </c>
      <c r="AT25" s="2">
        <f>(3*3*12)-1</f>
        <v>107</v>
      </c>
      <c r="AU25" s="53">
        <f>SUMSQ(D20:O28)-AT28</f>
        <v>5675.6574074074015</v>
      </c>
      <c r="AV25" s="53"/>
      <c r="AW25" s="53"/>
      <c r="AX25" s="53"/>
      <c r="AY25" s="53"/>
      <c r="AZ25" s="2"/>
      <c r="BA25" s="2"/>
    </row>
    <row r="26" spans="1:53" ht="15.5" x14ac:dyDescent="0.3">
      <c r="A26" s="73"/>
      <c r="B26" s="75"/>
      <c r="C26" s="2" t="s">
        <v>15</v>
      </c>
      <c r="D26" s="4">
        <v>35</v>
      </c>
      <c r="E26" s="4">
        <v>25</v>
      </c>
      <c r="F26" s="4">
        <v>31</v>
      </c>
      <c r="G26" s="4">
        <v>42</v>
      </c>
      <c r="H26" s="4">
        <v>21</v>
      </c>
      <c r="I26" s="4">
        <v>30</v>
      </c>
      <c r="J26" s="4">
        <v>37</v>
      </c>
      <c r="K26" s="4">
        <v>37</v>
      </c>
      <c r="L26" s="4">
        <v>45</v>
      </c>
      <c r="M26" s="4">
        <v>34</v>
      </c>
      <c r="N26" s="4">
        <v>30</v>
      </c>
      <c r="O26" s="4">
        <v>27</v>
      </c>
      <c r="P26" s="2">
        <f t="shared" si="8"/>
        <v>394</v>
      </c>
      <c r="Q26" s="53">
        <f t="shared" si="9"/>
        <v>32.833333333333336</v>
      </c>
      <c r="S26" s="6" t="s">
        <v>51</v>
      </c>
      <c r="T26" s="51">
        <f>(SUMSQ(W19:Y21)/(12))-T21-T24-T25</f>
        <v>848.87037037036498</v>
      </c>
      <c r="AA26" s="51"/>
      <c r="AE26" s="51"/>
      <c r="AF26" s="51"/>
      <c r="AG26" s="51"/>
      <c r="AH26" s="51"/>
      <c r="AI26" s="51"/>
      <c r="AM26" s="32" t="s">
        <v>12</v>
      </c>
      <c r="AN26" s="53">
        <v>31.333333333333332</v>
      </c>
      <c r="AO26" s="53" t="s">
        <v>100</v>
      </c>
      <c r="AP26" s="53">
        <f>AN26+AN21</f>
        <v>39.491463914829097</v>
      </c>
    </row>
    <row r="27" spans="1:53" ht="15.5" x14ac:dyDescent="0.3">
      <c r="A27" s="73"/>
      <c r="B27" s="75"/>
      <c r="C27" s="2" t="s">
        <v>16</v>
      </c>
      <c r="D27" s="4">
        <v>42</v>
      </c>
      <c r="E27" s="4">
        <v>31</v>
      </c>
      <c r="F27" s="4">
        <v>35</v>
      </c>
      <c r="G27" s="4">
        <v>38</v>
      </c>
      <c r="H27" s="4">
        <v>38</v>
      </c>
      <c r="I27" s="4">
        <v>32</v>
      </c>
      <c r="J27" s="4">
        <v>25</v>
      </c>
      <c r="K27" s="4">
        <v>35</v>
      </c>
      <c r="L27" s="4">
        <v>28</v>
      </c>
      <c r="M27" s="4">
        <v>32</v>
      </c>
      <c r="N27" s="4">
        <v>31</v>
      </c>
      <c r="O27" s="4">
        <v>32</v>
      </c>
      <c r="P27" s="2">
        <f t="shared" si="8"/>
        <v>399</v>
      </c>
      <c r="Q27" s="53">
        <f t="shared" si="9"/>
        <v>33.25</v>
      </c>
      <c r="S27" s="6" t="s">
        <v>52</v>
      </c>
      <c r="T27" s="51">
        <f>T22-T23-T24-T25-T26</f>
        <v>3533.25925925927</v>
      </c>
      <c r="AA27" s="51"/>
      <c r="AE27" s="51"/>
      <c r="AF27" s="51"/>
      <c r="AG27" s="51"/>
      <c r="AH27" s="51"/>
      <c r="AI27" s="51"/>
      <c r="AM27" s="32" t="s">
        <v>14</v>
      </c>
      <c r="AN27" s="53">
        <v>32.666666666666664</v>
      </c>
      <c r="AO27" s="53" t="s">
        <v>100</v>
      </c>
      <c r="AP27" s="53">
        <f>AN27+AN21</f>
        <v>40.824797248162433</v>
      </c>
    </row>
    <row r="28" spans="1:53" ht="15.5" x14ac:dyDescent="0.3">
      <c r="A28" s="73"/>
      <c r="B28" s="75"/>
      <c r="C28" s="2" t="s">
        <v>17</v>
      </c>
      <c r="D28" s="4">
        <v>41</v>
      </c>
      <c r="E28" s="4">
        <v>37</v>
      </c>
      <c r="F28" s="4">
        <v>41</v>
      </c>
      <c r="G28" s="4">
        <v>49</v>
      </c>
      <c r="H28" s="4">
        <v>27</v>
      </c>
      <c r="I28" s="4">
        <v>31</v>
      </c>
      <c r="J28" s="4">
        <v>30</v>
      </c>
      <c r="K28" s="4">
        <v>39</v>
      </c>
      <c r="L28" s="4">
        <v>33</v>
      </c>
      <c r="M28" s="4">
        <v>41</v>
      </c>
      <c r="N28" s="4">
        <v>33</v>
      </c>
      <c r="O28" s="4">
        <v>35</v>
      </c>
      <c r="P28" s="2">
        <f t="shared" si="8"/>
        <v>437</v>
      </c>
      <c r="Q28" s="53">
        <f t="shared" si="9"/>
        <v>36.416666666666664</v>
      </c>
      <c r="AA28" s="51"/>
      <c r="AE28" s="51"/>
      <c r="AF28" s="51"/>
      <c r="AG28" s="51"/>
      <c r="AH28" s="51"/>
      <c r="AI28" s="51"/>
      <c r="AM28" s="32" t="s">
        <v>15</v>
      </c>
      <c r="AN28" s="53">
        <v>32.833333333333336</v>
      </c>
      <c r="AO28" s="53" t="s">
        <v>100</v>
      </c>
      <c r="AP28" s="53">
        <f>AN28+AN21</f>
        <v>40.991463914829104</v>
      </c>
      <c r="AS28" s="2" t="s">
        <v>46</v>
      </c>
      <c r="AT28" s="53">
        <f>P29^2/(3*3*12)</f>
        <v>112843.3425925926</v>
      </c>
    </row>
    <row r="29" spans="1:53" x14ac:dyDescent="0.3">
      <c r="A29" s="73"/>
      <c r="B29" s="75"/>
      <c r="C29" s="2" t="s">
        <v>33</v>
      </c>
      <c r="D29" s="2">
        <f>SUM(D20:D28)</f>
        <v>274</v>
      </c>
      <c r="E29" s="2">
        <f t="shared" ref="E29:O29" si="10">SUM(E20:E28)</f>
        <v>243</v>
      </c>
      <c r="F29" s="2">
        <f t="shared" si="10"/>
        <v>297</v>
      </c>
      <c r="G29" s="2">
        <f t="shared" si="10"/>
        <v>337</v>
      </c>
      <c r="H29" s="2">
        <f t="shared" si="10"/>
        <v>268</v>
      </c>
      <c r="I29" s="2">
        <f t="shared" si="10"/>
        <v>316</v>
      </c>
      <c r="J29" s="2">
        <f t="shared" si="10"/>
        <v>281</v>
      </c>
      <c r="K29" s="2">
        <f t="shared" si="10"/>
        <v>325</v>
      </c>
      <c r="L29" s="2">
        <f t="shared" si="10"/>
        <v>291</v>
      </c>
      <c r="M29" s="2">
        <f t="shared" si="10"/>
        <v>301</v>
      </c>
      <c r="N29" s="2">
        <f t="shared" si="10"/>
        <v>274</v>
      </c>
      <c r="O29" s="2">
        <f t="shared" si="10"/>
        <v>284</v>
      </c>
      <c r="P29" s="2">
        <f t="shared" si="8"/>
        <v>3491</v>
      </c>
      <c r="Q29" s="53"/>
      <c r="AA29" s="51"/>
      <c r="AE29" s="51"/>
      <c r="AF29" s="51"/>
      <c r="AG29" s="51"/>
      <c r="AH29" s="51"/>
      <c r="AI29" s="51"/>
      <c r="AM29" s="32" t="s">
        <v>16</v>
      </c>
      <c r="AN29" s="53">
        <v>33.25</v>
      </c>
      <c r="AO29" s="53" t="s">
        <v>100</v>
      </c>
      <c r="AP29" s="53">
        <f>AN29+AN21</f>
        <v>41.408130581495769</v>
      </c>
    </row>
    <row r="30" spans="1:53" x14ac:dyDescent="0.3">
      <c r="A30" s="66"/>
      <c r="B30" s="76"/>
      <c r="C30" s="2" t="s">
        <v>32</v>
      </c>
      <c r="D30" s="53">
        <f>AVERAGE(D20:D28)</f>
        <v>30.444444444444443</v>
      </c>
      <c r="E30" s="53">
        <f t="shared" ref="E30:O30" si="11">AVERAGE(E20:E28)</f>
        <v>27</v>
      </c>
      <c r="F30" s="53">
        <f t="shared" si="11"/>
        <v>33</v>
      </c>
      <c r="G30" s="53">
        <f t="shared" si="11"/>
        <v>37.444444444444443</v>
      </c>
      <c r="H30" s="53">
        <f t="shared" si="11"/>
        <v>29.777777777777779</v>
      </c>
      <c r="I30" s="53">
        <f t="shared" si="11"/>
        <v>35.111111111111114</v>
      </c>
      <c r="J30" s="53">
        <f t="shared" si="11"/>
        <v>31.222222222222221</v>
      </c>
      <c r="K30" s="53">
        <f t="shared" si="11"/>
        <v>36.111111111111114</v>
      </c>
      <c r="L30" s="53">
        <f t="shared" si="11"/>
        <v>32.333333333333336</v>
      </c>
      <c r="M30" s="53">
        <f t="shared" si="11"/>
        <v>33.444444444444443</v>
      </c>
      <c r="N30" s="53">
        <f t="shared" si="11"/>
        <v>30.444444444444443</v>
      </c>
      <c r="O30" s="53">
        <f t="shared" si="11"/>
        <v>31.555555555555557</v>
      </c>
      <c r="P30" s="2"/>
      <c r="Q30" s="53"/>
      <c r="AA30" s="51"/>
      <c r="AE30" s="51"/>
      <c r="AF30" s="51"/>
      <c r="AG30" s="51"/>
      <c r="AH30" s="51"/>
      <c r="AI30" s="51"/>
      <c r="AM30" s="32" t="s">
        <v>13</v>
      </c>
      <c r="AN30" s="53">
        <v>34.916666666666664</v>
      </c>
      <c r="AO30" s="53" t="s">
        <v>101</v>
      </c>
      <c r="AP30" s="53">
        <f>AN30+AN21</f>
        <v>43.074797248162433</v>
      </c>
    </row>
    <row r="31" spans="1:53" x14ac:dyDescent="0.3">
      <c r="Q31" s="51"/>
      <c r="AA31" s="51"/>
      <c r="AE31" s="51"/>
      <c r="AF31" s="51"/>
      <c r="AG31" s="51"/>
      <c r="AH31" s="51"/>
      <c r="AI31" s="51"/>
      <c r="AM31" s="32" t="s">
        <v>9</v>
      </c>
      <c r="AN31" s="53">
        <v>36.25</v>
      </c>
      <c r="AO31" s="53" t="s">
        <v>102</v>
      </c>
      <c r="AP31" s="53">
        <f>AN31+AN21</f>
        <v>44.408130581495769</v>
      </c>
      <c r="AS31" s="6" t="s">
        <v>97</v>
      </c>
    </row>
    <row r="32" spans="1:53" x14ac:dyDescent="0.3">
      <c r="A32" s="3" t="s">
        <v>18</v>
      </c>
      <c r="B32" s="3" t="s">
        <v>20</v>
      </c>
      <c r="C32" s="65" t="s">
        <v>0</v>
      </c>
      <c r="D32" s="70" t="s">
        <v>1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65" t="s">
        <v>33</v>
      </c>
      <c r="Q32" s="67" t="s">
        <v>32</v>
      </c>
      <c r="V32" s="65" t="s">
        <v>53</v>
      </c>
      <c r="W32" s="70" t="s">
        <v>54</v>
      </c>
      <c r="X32" s="71"/>
      <c r="Y32" s="72"/>
      <c r="Z32" s="65" t="s">
        <v>33</v>
      </c>
      <c r="AA32" s="67" t="s">
        <v>32</v>
      </c>
      <c r="AC32" s="65" t="s">
        <v>61</v>
      </c>
      <c r="AD32" s="65" t="s">
        <v>62</v>
      </c>
      <c r="AE32" s="67" t="s">
        <v>63</v>
      </c>
      <c r="AF32" s="67" t="s">
        <v>64</v>
      </c>
      <c r="AG32" s="67" t="s">
        <v>65</v>
      </c>
      <c r="AH32" s="64" t="s">
        <v>66</v>
      </c>
      <c r="AI32" s="64"/>
      <c r="AJ32" s="65" t="s">
        <v>67</v>
      </c>
      <c r="AK32" s="65" t="s">
        <v>68</v>
      </c>
      <c r="AM32" s="32" t="s">
        <v>17</v>
      </c>
      <c r="AN32" s="53">
        <v>36.416666666666664</v>
      </c>
      <c r="AO32" s="53" t="s">
        <v>102</v>
      </c>
      <c r="AP32" s="53">
        <f>AN32+AN21</f>
        <v>44.574797248162433</v>
      </c>
      <c r="AS32" s="65" t="s">
        <v>61</v>
      </c>
      <c r="AT32" s="65" t="s">
        <v>62</v>
      </c>
      <c r="AU32" s="65" t="s">
        <v>63</v>
      </c>
      <c r="AV32" s="65" t="s">
        <v>64</v>
      </c>
      <c r="AW32" s="65" t="s">
        <v>65</v>
      </c>
      <c r="AX32" s="69" t="s">
        <v>66</v>
      </c>
      <c r="AY32" s="69"/>
      <c r="AZ32" s="65" t="s">
        <v>67</v>
      </c>
      <c r="BA32" s="65" t="s">
        <v>68</v>
      </c>
    </row>
    <row r="33" spans="1:53" x14ac:dyDescent="0.3">
      <c r="A33" s="65">
        <v>3</v>
      </c>
      <c r="B33" s="74" t="s">
        <v>36</v>
      </c>
      <c r="C33" s="73"/>
      <c r="D33" s="70" t="s">
        <v>2</v>
      </c>
      <c r="E33" s="71"/>
      <c r="F33" s="71"/>
      <c r="G33" s="72"/>
      <c r="H33" s="70" t="s">
        <v>7</v>
      </c>
      <c r="I33" s="71"/>
      <c r="J33" s="71"/>
      <c r="K33" s="72"/>
      <c r="L33" s="70" t="s">
        <v>8</v>
      </c>
      <c r="M33" s="71"/>
      <c r="N33" s="71"/>
      <c r="O33" s="72"/>
      <c r="P33" s="73"/>
      <c r="Q33" s="77"/>
      <c r="S33" s="6" t="s">
        <v>71</v>
      </c>
      <c r="T33" s="6">
        <v>12</v>
      </c>
      <c r="V33" s="66"/>
      <c r="W33" s="3" t="s">
        <v>55</v>
      </c>
      <c r="X33" s="3" t="s">
        <v>56</v>
      </c>
      <c r="Y33" s="3" t="s">
        <v>57</v>
      </c>
      <c r="Z33" s="66"/>
      <c r="AA33" s="68"/>
      <c r="AC33" s="66"/>
      <c r="AD33" s="66"/>
      <c r="AE33" s="68"/>
      <c r="AF33" s="68"/>
      <c r="AG33" s="68"/>
      <c r="AH33" s="59">
        <v>0.05</v>
      </c>
      <c r="AI33" s="59">
        <v>0.01</v>
      </c>
      <c r="AJ33" s="66"/>
      <c r="AK33" s="66"/>
      <c r="AM33" s="43"/>
      <c r="AN33" s="43"/>
      <c r="AO33" s="43"/>
      <c r="AP33" s="43"/>
      <c r="AS33" s="66"/>
      <c r="AT33" s="66"/>
      <c r="AU33" s="66"/>
      <c r="AV33" s="66"/>
      <c r="AW33" s="66"/>
      <c r="AX33" s="42">
        <v>0.05</v>
      </c>
      <c r="AY33" s="42">
        <v>0.01</v>
      </c>
      <c r="AZ33" s="66"/>
      <c r="BA33" s="66"/>
    </row>
    <row r="34" spans="1:53" x14ac:dyDescent="0.3">
      <c r="A34" s="73"/>
      <c r="B34" s="75"/>
      <c r="C34" s="66"/>
      <c r="D34" s="3" t="s">
        <v>3</v>
      </c>
      <c r="E34" s="3" t="s">
        <v>4</v>
      </c>
      <c r="F34" s="3" t="s">
        <v>5</v>
      </c>
      <c r="G34" s="3" t="s">
        <v>6</v>
      </c>
      <c r="H34" s="3" t="s">
        <v>3</v>
      </c>
      <c r="I34" s="3" t="s">
        <v>4</v>
      </c>
      <c r="J34" s="3" t="s">
        <v>5</v>
      </c>
      <c r="K34" s="3" t="s">
        <v>6</v>
      </c>
      <c r="L34" s="3" t="s">
        <v>3</v>
      </c>
      <c r="M34" s="3" t="s">
        <v>4</v>
      </c>
      <c r="N34" s="3" t="s">
        <v>5</v>
      </c>
      <c r="O34" s="3" t="s">
        <v>6</v>
      </c>
      <c r="P34" s="66"/>
      <c r="Q34" s="68"/>
      <c r="S34" s="6" t="s">
        <v>44</v>
      </c>
      <c r="T34" s="6">
        <v>3</v>
      </c>
      <c r="V34" s="3" t="s">
        <v>58</v>
      </c>
      <c r="W34" s="2">
        <f>SUM(D35:O35)</f>
        <v>627</v>
      </c>
      <c r="X34" s="2">
        <f>SUM(D36:O36)</f>
        <v>440</v>
      </c>
      <c r="Y34" s="2">
        <f>SUM(D37:O37)</f>
        <v>412</v>
      </c>
      <c r="Z34" s="2">
        <f>SUM(W34:Y34)</f>
        <v>1479</v>
      </c>
      <c r="AA34" s="53">
        <f>AVERAGE(W34:Y34)</f>
        <v>493</v>
      </c>
      <c r="AC34" s="3" t="s">
        <v>43</v>
      </c>
      <c r="AD34" s="2">
        <f>12-1</f>
        <v>11</v>
      </c>
      <c r="AE34" s="53">
        <f>T38</f>
        <v>2204.296296296292</v>
      </c>
      <c r="AF34" s="53">
        <f>AE34/AD34</f>
        <v>200.390572390572</v>
      </c>
      <c r="AG34" s="53">
        <f>AF34/AF38</f>
        <v>1.3466110443328834</v>
      </c>
      <c r="AH34" s="53">
        <f>FINV(AH33,AD34,AD38)</f>
        <v>1.8991710184693407</v>
      </c>
      <c r="AI34" s="53">
        <f>FINV(AI33,AD34,AD38)</f>
        <v>2.4560580535880434</v>
      </c>
      <c r="AJ34" s="30" t="s">
        <v>95</v>
      </c>
      <c r="AK34" s="2"/>
      <c r="AM34" s="79" t="s">
        <v>80</v>
      </c>
      <c r="AN34" s="79"/>
      <c r="AO34" s="43"/>
      <c r="AP34" s="43"/>
      <c r="AS34" s="3" t="s">
        <v>43</v>
      </c>
      <c r="AT34" s="2">
        <f>12-1</f>
        <v>11</v>
      </c>
      <c r="AU34" s="6">
        <f>SUMSQ(D44:O44)/(3*3)-AT43</f>
        <v>2204.296296296292</v>
      </c>
      <c r="AV34" s="53">
        <f>AU34/AT34</f>
        <v>200.390572390572</v>
      </c>
      <c r="AW34" s="53">
        <f>AV34/AV39</f>
        <v>1.3466110443328834</v>
      </c>
      <c r="AX34" s="53">
        <f>FINV(AX33,AT34,AT39)</f>
        <v>1.8991710184693407</v>
      </c>
      <c r="AY34" s="53">
        <f>FINV(AY33,AT34,AT39)</f>
        <v>2.4560580535880434</v>
      </c>
      <c r="AZ34" s="2" t="str">
        <f>IF(AW34&gt;AY34,"**",IF(AW34&gt;AX34,"*","TN"))</f>
        <v>TN</v>
      </c>
      <c r="BA34" s="2" t="str">
        <f>IF(AZ34="TN","Tidak Nyata",IF(AZ34="*","Nyata",IF(AZ34="**","Sangat Nyata",0)))</f>
        <v>Tidak Nyata</v>
      </c>
    </row>
    <row r="35" spans="1:53" ht="15.5" x14ac:dyDescent="0.3">
      <c r="A35" s="73"/>
      <c r="B35" s="75"/>
      <c r="C35" s="2" t="s">
        <v>9</v>
      </c>
      <c r="D35" s="4">
        <v>53</v>
      </c>
      <c r="E35" s="4">
        <v>51</v>
      </c>
      <c r="F35" s="4">
        <v>60</v>
      </c>
      <c r="G35" s="4">
        <v>60</v>
      </c>
      <c r="H35" s="4">
        <v>17</v>
      </c>
      <c r="I35" s="4">
        <v>62</v>
      </c>
      <c r="J35" s="4">
        <v>48</v>
      </c>
      <c r="K35" s="4">
        <v>58</v>
      </c>
      <c r="L35" s="4">
        <v>45</v>
      </c>
      <c r="M35" s="4">
        <v>74</v>
      </c>
      <c r="N35" s="4">
        <v>45</v>
      </c>
      <c r="O35" s="4">
        <v>54</v>
      </c>
      <c r="P35" s="2">
        <f>SUM(D35:O35)</f>
        <v>627</v>
      </c>
      <c r="Q35" s="53">
        <f>AVERAGE(D35:P35)</f>
        <v>96.461538461538467</v>
      </c>
      <c r="S35" s="6" t="s">
        <v>45</v>
      </c>
      <c r="T35" s="6">
        <v>3</v>
      </c>
      <c r="V35" s="3" t="s">
        <v>59</v>
      </c>
      <c r="W35" s="2">
        <f>SUM(D38:O38)</f>
        <v>505</v>
      </c>
      <c r="X35" s="2">
        <f>SUM(D39:O39)</f>
        <v>456</v>
      </c>
      <c r="Y35" s="2">
        <f>SUM(D40:O40)</f>
        <v>637</v>
      </c>
      <c r="Z35" s="2">
        <f>SUM(W35:Y35)</f>
        <v>1598</v>
      </c>
      <c r="AA35" s="53">
        <f>AVERAGE(W35:Y35)</f>
        <v>532.66666666666663</v>
      </c>
      <c r="AC35" s="3" t="s">
        <v>45</v>
      </c>
      <c r="AD35" s="2">
        <f>3-1</f>
        <v>2</v>
      </c>
      <c r="AE35" s="53">
        <f>T39</f>
        <v>680.35185185185401</v>
      </c>
      <c r="AF35" s="53">
        <f>AE35/AD35</f>
        <v>340.175925925927</v>
      </c>
      <c r="AG35" s="53">
        <f>AF35/AF38</f>
        <v>2.2859591317259502</v>
      </c>
      <c r="AH35" s="53">
        <f>FINV(AH33,AD35,AD38)</f>
        <v>3.1000686386371408</v>
      </c>
      <c r="AI35" s="53">
        <f>FINV(AI33,AD35,AD38)</f>
        <v>4.8547979993760721</v>
      </c>
      <c r="AJ35" s="30" t="s">
        <v>95</v>
      </c>
      <c r="AK35" s="2"/>
      <c r="AM35" s="32" t="s">
        <v>79</v>
      </c>
      <c r="AN35" s="31">
        <f>SQRT(AF38/12)</f>
        <v>3.5214938465565395</v>
      </c>
      <c r="AO35" s="57"/>
      <c r="AP35" s="58" t="s">
        <v>84</v>
      </c>
      <c r="AS35" s="3" t="s">
        <v>98</v>
      </c>
      <c r="AT35" s="2">
        <f>3*3-1</f>
        <v>8</v>
      </c>
      <c r="AU35" s="53">
        <f>SUMSQ(P35:P43)/12-AT43</f>
        <v>10113.740740740759</v>
      </c>
      <c r="AV35" s="53">
        <f t="shared" ref="AV35:AV39" si="12">AU35/AT35</f>
        <v>1264.2175925925949</v>
      </c>
      <c r="AW35" s="53">
        <f>AV35/AV39</f>
        <v>8.4954564095312364</v>
      </c>
      <c r="AX35" s="53">
        <f>FINV(AX33,AT35,AT39)</f>
        <v>2.0454143150341193</v>
      </c>
      <c r="AY35" s="53">
        <f>FINV(AY33,AT35,AT39)</f>
        <v>2.720181875728696</v>
      </c>
      <c r="AZ35" s="2" t="str">
        <f>IF(AW35&gt;AY35,"**",IF(AW35&gt;AX35,"*","TN"))</f>
        <v>**</v>
      </c>
      <c r="BA35" s="2" t="str">
        <f t="shared" ref="BA35:BA38" si="13">IF(AZ35="TN","Tidak Nyata",IF(AZ35="*","Nyata",IF(AZ35="**","Sangat Nyata",0)))</f>
        <v>Sangat Nyata</v>
      </c>
    </row>
    <row r="36" spans="1:53" x14ac:dyDescent="0.3">
      <c r="A36" s="73"/>
      <c r="B36" s="75"/>
      <c r="C36" s="2" t="s">
        <v>10</v>
      </c>
      <c r="D36" s="50">
        <v>32</v>
      </c>
      <c r="E36" s="50">
        <v>38</v>
      </c>
      <c r="F36" s="50">
        <v>35</v>
      </c>
      <c r="G36" s="50">
        <v>40</v>
      </c>
      <c r="H36" s="50">
        <v>32</v>
      </c>
      <c r="I36" s="50">
        <v>35</v>
      </c>
      <c r="J36" s="50">
        <v>54</v>
      </c>
      <c r="K36" s="50">
        <v>32</v>
      </c>
      <c r="L36" s="50">
        <v>36</v>
      </c>
      <c r="M36" s="50">
        <v>34</v>
      </c>
      <c r="N36" s="50">
        <v>36</v>
      </c>
      <c r="O36" s="50">
        <v>36</v>
      </c>
      <c r="P36" s="2">
        <f t="shared" ref="P36:P44" si="14">SUM(D36:O36)</f>
        <v>440</v>
      </c>
      <c r="Q36" s="53">
        <f t="shared" ref="Q36:Q43" si="15">AVERAGE(D36:P36)</f>
        <v>67.692307692307693</v>
      </c>
      <c r="S36" s="6" t="s">
        <v>46</v>
      </c>
      <c r="T36" s="51">
        <f>(P44^2)/(12*3*3)</f>
        <v>249600.59259259258</v>
      </c>
      <c r="V36" s="3" t="s">
        <v>60</v>
      </c>
      <c r="W36" s="2">
        <f>SUM(D41:O41)</f>
        <v>691</v>
      </c>
      <c r="X36" s="2">
        <f>SUM(D42:O42)</f>
        <v>712</v>
      </c>
      <c r="Y36" s="2">
        <f>SUM(D43:O43)</f>
        <v>712</v>
      </c>
      <c r="Z36" s="2">
        <f>SUM(W36:Y36)</f>
        <v>2115</v>
      </c>
      <c r="AA36" s="53">
        <f>AVERAGE(W36:Y36)</f>
        <v>705</v>
      </c>
      <c r="AC36" s="3" t="s">
        <v>44</v>
      </c>
      <c r="AD36" s="2">
        <f>3-1</f>
        <v>2</v>
      </c>
      <c r="AE36" s="53">
        <f>T40</f>
        <v>6351.351851851854</v>
      </c>
      <c r="AF36" s="53">
        <f>AE36/AD36</f>
        <v>3175.675925925927</v>
      </c>
      <c r="AG36" s="53">
        <f>AF36/AF38</f>
        <v>21.340326663367051</v>
      </c>
      <c r="AH36" s="53">
        <f>FINV(AH33,AD36,AD38)</f>
        <v>3.1000686386371408</v>
      </c>
      <c r="AI36" s="53">
        <f>FINV(AI33,AD36,AD38)</f>
        <v>4.8547979993760721</v>
      </c>
      <c r="AJ36" s="30" t="s">
        <v>72</v>
      </c>
      <c r="AK36" s="2"/>
      <c r="AM36" s="32" t="s">
        <v>75</v>
      </c>
      <c r="AN36" s="31">
        <v>4.46</v>
      </c>
      <c r="AO36" s="57"/>
      <c r="AP36" s="57"/>
      <c r="AS36" s="3" t="s">
        <v>45</v>
      </c>
      <c r="AT36" s="2">
        <f>3-1</f>
        <v>2</v>
      </c>
      <c r="AU36" s="53">
        <f>SUMSQ(W37:Y37)/(3*12)-AT43</f>
        <v>680.35185185185401</v>
      </c>
      <c r="AV36" s="53">
        <f t="shared" si="12"/>
        <v>340.175925925927</v>
      </c>
      <c r="AW36" s="53">
        <f>AV36/AV39</f>
        <v>2.2859591317259502</v>
      </c>
      <c r="AX36" s="53">
        <f>FINV(AX33,AT36,AT39)</f>
        <v>3.1000686386371408</v>
      </c>
      <c r="AY36" s="53">
        <f>FINV(AY33,AT36,AT39)</f>
        <v>4.8547979993760721</v>
      </c>
      <c r="AZ36" s="2" t="str">
        <f>IF(AW36&gt;AY36,"**",IF(AW36&gt;AX36,"*","TN"))</f>
        <v>TN</v>
      </c>
      <c r="BA36" s="2" t="str">
        <f t="shared" si="13"/>
        <v>Tidak Nyata</v>
      </c>
    </row>
    <row r="37" spans="1:53" x14ac:dyDescent="0.3">
      <c r="A37" s="73"/>
      <c r="B37" s="75"/>
      <c r="C37" s="2" t="s">
        <v>11</v>
      </c>
      <c r="D37" s="50">
        <v>31</v>
      </c>
      <c r="E37" s="50">
        <v>34</v>
      </c>
      <c r="F37" s="50">
        <v>36</v>
      </c>
      <c r="G37" s="50">
        <v>34</v>
      </c>
      <c r="H37" s="50">
        <v>37</v>
      </c>
      <c r="I37" s="50">
        <v>32</v>
      </c>
      <c r="J37" s="50">
        <v>35</v>
      </c>
      <c r="K37" s="50">
        <v>35</v>
      </c>
      <c r="L37" s="50">
        <v>38</v>
      </c>
      <c r="M37" s="50">
        <v>32</v>
      </c>
      <c r="N37" s="50">
        <v>33</v>
      </c>
      <c r="O37" s="50">
        <v>35</v>
      </c>
      <c r="P37" s="2">
        <f t="shared" si="14"/>
        <v>412</v>
      </c>
      <c r="Q37" s="53">
        <f t="shared" si="15"/>
        <v>63.384615384615387</v>
      </c>
      <c r="S37" s="6" t="s">
        <v>47</v>
      </c>
      <c r="T37" s="51">
        <f>SUMSQ(D35:O43)-T36</f>
        <v>25413.407407407416</v>
      </c>
      <c r="V37" s="3" t="s">
        <v>33</v>
      </c>
      <c r="W37" s="2">
        <f>SUM(W34:W36)</f>
        <v>1823</v>
      </c>
      <c r="X37" s="2">
        <f>SUM(X34:X36)</f>
        <v>1608</v>
      </c>
      <c r="Y37" s="2">
        <f>SUM(Y34:Y36)</f>
        <v>1761</v>
      </c>
      <c r="Z37" s="2">
        <f>SUM(W37:Y37)</f>
        <v>5192</v>
      </c>
      <c r="AA37" s="53">
        <f>AVERAGE(W37:Y37)</f>
        <v>1730.6666666666667</v>
      </c>
      <c r="AC37" s="3" t="s">
        <v>69</v>
      </c>
      <c r="AD37" s="2">
        <f>(3-1)*(3-1)</f>
        <v>4</v>
      </c>
      <c r="AE37" s="53">
        <f>T41</f>
        <v>3082.037037037051</v>
      </c>
      <c r="AF37" s="53">
        <f>AE37/AD37</f>
        <v>770.50925925926276</v>
      </c>
      <c r="AG37" s="53">
        <f>AF37/AF38</f>
        <v>5.1777699215159698</v>
      </c>
      <c r="AH37" s="53">
        <f>FINV(AH33,AD37,AD38)</f>
        <v>2.4752774088696223</v>
      </c>
      <c r="AI37" s="53">
        <f>FINV(AI33,AD37,AD38)</f>
        <v>3.5400845421240663</v>
      </c>
      <c r="AJ37" s="30" t="s">
        <v>72</v>
      </c>
      <c r="AK37" s="2"/>
      <c r="AM37" s="32" t="s">
        <v>76</v>
      </c>
      <c r="AN37" s="54">
        <f>AN36*AN35</f>
        <v>15.705862555642167</v>
      </c>
      <c r="AO37" s="57"/>
      <c r="AP37" s="57"/>
      <c r="AS37" s="3" t="s">
        <v>44</v>
      </c>
      <c r="AT37" s="2">
        <f>3-1</f>
        <v>2</v>
      </c>
      <c r="AU37" s="53">
        <f>SUMSQ(Z34:Z36)/(3*12)-AT43</f>
        <v>6351.351851851854</v>
      </c>
      <c r="AV37" s="53">
        <f t="shared" si="12"/>
        <v>3175.675925925927</v>
      </c>
      <c r="AW37" s="53">
        <f>AV37/AV39</f>
        <v>21.340326663367051</v>
      </c>
      <c r="AX37" s="53">
        <f>FINV(AX33,AT37,AT39)</f>
        <v>3.1000686386371408</v>
      </c>
      <c r="AY37" s="53">
        <f>FINV(AY33,AT37,AT39)</f>
        <v>4.8547979993760721</v>
      </c>
      <c r="AZ37" s="2" t="str">
        <f>IF(AW37&gt;AY37,"**",IF(AW37&gt;AX37,"*","TN"))</f>
        <v>**</v>
      </c>
      <c r="BA37" s="2" t="str">
        <f t="shared" si="13"/>
        <v>Sangat Nyata</v>
      </c>
    </row>
    <row r="38" spans="1:53" ht="15.5" x14ac:dyDescent="0.3">
      <c r="A38" s="73"/>
      <c r="B38" s="75"/>
      <c r="C38" s="2" t="s">
        <v>12</v>
      </c>
      <c r="D38" s="4">
        <v>41</v>
      </c>
      <c r="E38" s="4">
        <v>30</v>
      </c>
      <c r="F38" s="4">
        <v>34</v>
      </c>
      <c r="G38" s="4">
        <v>30</v>
      </c>
      <c r="H38" s="4">
        <v>51</v>
      </c>
      <c r="I38" s="4">
        <v>41</v>
      </c>
      <c r="J38" s="4">
        <v>63</v>
      </c>
      <c r="K38" s="4">
        <v>64</v>
      </c>
      <c r="L38" s="4">
        <v>36</v>
      </c>
      <c r="M38" s="4">
        <v>20</v>
      </c>
      <c r="N38" s="4">
        <v>61</v>
      </c>
      <c r="O38" s="4">
        <v>34</v>
      </c>
      <c r="P38" s="2">
        <f t="shared" si="14"/>
        <v>505</v>
      </c>
      <c r="Q38" s="53">
        <f t="shared" si="15"/>
        <v>77.692307692307693</v>
      </c>
      <c r="S38" s="6" t="s">
        <v>48</v>
      </c>
      <c r="T38" s="51">
        <f>(SUMSQ(D44:O44)/(3*3))-T36</f>
        <v>2204.296296296292</v>
      </c>
      <c r="V38" s="3" t="s">
        <v>32</v>
      </c>
      <c r="W38" s="53">
        <f>AVERAGE(W34:W36)</f>
        <v>607.66666666666663</v>
      </c>
      <c r="X38" s="53">
        <f>AVERAGE(X34:X36)</f>
        <v>536</v>
      </c>
      <c r="Y38" s="53">
        <f>AVERAGE(Y34:Y36)</f>
        <v>587</v>
      </c>
      <c r="Z38" s="2"/>
      <c r="AA38" s="53"/>
      <c r="AC38" s="3" t="s">
        <v>70</v>
      </c>
      <c r="AD38" s="2">
        <f>((3*3)-1)*(12-1)</f>
        <v>88</v>
      </c>
      <c r="AE38" s="53">
        <f>T42</f>
        <v>13095.370370370365</v>
      </c>
      <c r="AF38" s="53">
        <f>AE38/AD38</f>
        <v>148.81102693602688</v>
      </c>
      <c r="AG38" s="53"/>
      <c r="AH38" s="53"/>
      <c r="AI38" s="53"/>
      <c r="AJ38" s="2"/>
      <c r="AK38" s="2"/>
      <c r="AM38" s="43"/>
      <c r="AN38" s="57"/>
      <c r="AO38" s="57"/>
      <c r="AP38" s="57"/>
      <c r="AS38" s="3" t="s">
        <v>69</v>
      </c>
      <c r="AT38" s="2">
        <f>AT36*AT37</f>
        <v>4</v>
      </c>
      <c r="AU38" s="53">
        <f>AU35-AU36-AU37</f>
        <v>3082.037037037051</v>
      </c>
      <c r="AV38" s="53">
        <f t="shared" si="12"/>
        <v>770.50925925926276</v>
      </c>
      <c r="AW38" s="53">
        <f>AV38/AV39</f>
        <v>5.1777699215159698</v>
      </c>
      <c r="AX38" s="53">
        <f>FINV(AX33,AT38,AT39)</f>
        <v>2.4752774088696223</v>
      </c>
      <c r="AY38" s="53">
        <f>FINV(AY33,AT38,AT39)</f>
        <v>3.5400845421240663</v>
      </c>
      <c r="AZ38" s="2" t="str">
        <f>IF(AW38&gt;AY38,"**",IF(AW38&gt;AX38,"*","TN"))</f>
        <v>**</v>
      </c>
      <c r="BA38" s="2" t="str">
        <f t="shared" si="13"/>
        <v>Sangat Nyata</v>
      </c>
    </row>
    <row r="39" spans="1:53" ht="15.5" x14ac:dyDescent="0.3">
      <c r="A39" s="73"/>
      <c r="B39" s="75"/>
      <c r="C39" s="2" t="s">
        <v>13</v>
      </c>
      <c r="D39" s="4">
        <v>37</v>
      </c>
      <c r="E39" s="4">
        <v>34</v>
      </c>
      <c r="F39" s="4">
        <v>38</v>
      </c>
      <c r="G39" s="4">
        <v>26</v>
      </c>
      <c r="H39" s="4">
        <v>39</v>
      </c>
      <c r="I39" s="4">
        <v>52</v>
      </c>
      <c r="J39" s="4">
        <v>44</v>
      </c>
      <c r="K39" s="4">
        <v>34</v>
      </c>
      <c r="L39" s="4">
        <v>34</v>
      </c>
      <c r="M39" s="4">
        <v>39</v>
      </c>
      <c r="N39" s="4">
        <v>42</v>
      </c>
      <c r="O39" s="4">
        <v>37</v>
      </c>
      <c r="P39" s="2">
        <f t="shared" si="14"/>
        <v>456</v>
      </c>
      <c r="Q39" s="53">
        <f t="shared" si="15"/>
        <v>70.15384615384616</v>
      </c>
      <c r="S39" s="6" t="s">
        <v>50</v>
      </c>
      <c r="T39" s="51">
        <f>(SUMSQ(W37:Y37)/(12*3))-T36</f>
        <v>680.35185185185401</v>
      </c>
      <c r="AA39" s="51"/>
      <c r="AC39" s="3" t="s">
        <v>33</v>
      </c>
      <c r="AD39" s="2">
        <f>(3*3*12)-1</f>
        <v>107</v>
      </c>
      <c r="AE39" s="53">
        <f>T37</f>
        <v>25413.407407407416</v>
      </c>
      <c r="AF39" s="53"/>
      <c r="AG39" s="53"/>
      <c r="AH39" s="53"/>
      <c r="AI39" s="53"/>
      <c r="AJ39" s="2"/>
      <c r="AK39" s="2"/>
      <c r="AM39" s="32" t="s">
        <v>81</v>
      </c>
      <c r="AN39" s="31" t="s">
        <v>32</v>
      </c>
      <c r="AO39" s="31" t="s">
        <v>67</v>
      </c>
      <c r="AP39" s="31" t="s">
        <v>77</v>
      </c>
      <c r="AS39" s="3" t="s">
        <v>70</v>
      </c>
      <c r="AT39" s="2">
        <f>AT40-AT34-AT35</f>
        <v>88</v>
      </c>
      <c r="AU39" s="53">
        <f>AU40-AU34-AU35</f>
        <v>13095.370370370365</v>
      </c>
      <c r="AV39" s="53">
        <f t="shared" si="12"/>
        <v>148.81102693602688</v>
      </c>
      <c r="AW39" s="53"/>
      <c r="AX39" s="53"/>
      <c r="AY39" s="53"/>
      <c r="AZ39" s="2"/>
      <c r="BA39" s="2"/>
    </row>
    <row r="40" spans="1:53" ht="15.5" x14ac:dyDescent="0.3">
      <c r="A40" s="73"/>
      <c r="B40" s="75"/>
      <c r="C40" s="2" t="s">
        <v>14</v>
      </c>
      <c r="D40" s="4">
        <v>34</v>
      </c>
      <c r="E40" s="4">
        <v>20</v>
      </c>
      <c r="F40" s="4">
        <v>52</v>
      </c>
      <c r="G40" s="4">
        <v>31</v>
      </c>
      <c r="H40" s="4">
        <v>34</v>
      </c>
      <c r="I40" s="4">
        <v>47</v>
      </c>
      <c r="J40" s="4">
        <v>84</v>
      </c>
      <c r="K40" s="4">
        <v>43</v>
      </c>
      <c r="L40" s="4">
        <v>78</v>
      </c>
      <c r="M40" s="4">
        <v>66</v>
      </c>
      <c r="N40" s="4">
        <v>79</v>
      </c>
      <c r="O40" s="4">
        <v>69</v>
      </c>
      <c r="P40" s="2">
        <f t="shared" si="14"/>
        <v>637</v>
      </c>
      <c r="Q40" s="53">
        <f t="shared" si="15"/>
        <v>98</v>
      </c>
      <c r="S40" s="6" t="s">
        <v>49</v>
      </c>
      <c r="T40" s="51">
        <f>(SUMSQ(Z34:Z36)/(12*3))-T36</f>
        <v>6351.351851851854</v>
      </c>
      <c r="AA40" s="51"/>
      <c r="AE40" s="51"/>
      <c r="AF40" s="51"/>
      <c r="AG40" s="51"/>
      <c r="AH40" s="51"/>
      <c r="AI40" s="51"/>
      <c r="AM40" s="32" t="s">
        <v>11</v>
      </c>
      <c r="AN40" s="31">
        <v>63.384615384615387</v>
      </c>
      <c r="AO40" s="31" t="s">
        <v>93</v>
      </c>
      <c r="AP40" s="31">
        <f>AN40+AN37</f>
        <v>79.090477940257557</v>
      </c>
      <c r="AS40" s="3" t="s">
        <v>33</v>
      </c>
      <c r="AT40" s="2">
        <f>(3*3*12)-1</f>
        <v>107</v>
      </c>
      <c r="AU40" s="53">
        <f>SUMSQ(D35:O43)-AT43</f>
        <v>25413.407407407416</v>
      </c>
      <c r="AV40" s="53"/>
      <c r="AW40" s="53"/>
      <c r="AX40" s="53"/>
      <c r="AY40" s="53"/>
      <c r="AZ40" s="2"/>
      <c r="BA40" s="2"/>
    </row>
    <row r="41" spans="1:53" ht="15.5" x14ac:dyDescent="0.3">
      <c r="A41" s="73"/>
      <c r="B41" s="75"/>
      <c r="C41" s="2" t="s">
        <v>15</v>
      </c>
      <c r="D41" s="4">
        <v>36</v>
      </c>
      <c r="E41" s="4">
        <v>78</v>
      </c>
      <c r="F41" s="4">
        <v>66</v>
      </c>
      <c r="G41" s="4">
        <v>69</v>
      </c>
      <c r="H41" s="4">
        <v>56</v>
      </c>
      <c r="I41" s="4">
        <v>78</v>
      </c>
      <c r="J41" s="4">
        <v>40</v>
      </c>
      <c r="K41" s="4">
        <v>30</v>
      </c>
      <c r="L41" s="4">
        <v>48</v>
      </c>
      <c r="M41" s="4">
        <v>55</v>
      </c>
      <c r="N41" s="4">
        <v>68</v>
      </c>
      <c r="O41" s="4">
        <v>67</v>
      </c>
      <c r="P41" s="2">
        <f t="shared" si="14"/>
        <v>691</v>
      </c>
      <c r="Q41" s="53">
        <f t="shared" si="15"/>
        <v>106.30769230769231</v>
      </c>
      <c r="S41" s="6" t="s">
        <v>51</v>
      </c>
      <c r="T41" s="51">
        <f>(SUMSQ(W34:Y36)/(12))-T36-T39-T40</f>
        <v>3082.037037037051</v>
      </c>
      <c r="AA41" s="51"/>
      <c r="AE41" s="51"/>
      <c r="AF41" s="51"/>
      <c r="AG41" s="51"/>
      <c r="AH41" s="51"/>
      <c r="AI41" s="51"/>
      <c r="AM41" s="32" t="s">
        <v>10</v>
      </c>
      <c r="AN41" s="31">
        <v>67.692307692307693</v>
      </c>
      <c r="AO41" s="31" t="s">
        <v>93</v>
      </c>
      <c r="AP41" s="31">
        <f>AN41+AN37</f>
        <v>83.398170247949864</v>
      </c>
    </row>
    <row r="42" spans="1:53" ht="15.5" x14ac:dyDescent="0.3">
      <c r="A42" s="73"/>
      <c r="B42" s="75"/>
      <c r="C42" s="2" t="s">
        <v>16</v>
      </c>
      <c r="D42" s="4">
        <v>44</v>
      </c>
      <c r="E42" s="4">
        <v>54</v>
      </c>
      <c r="F42" s="4">
        <v>56</v>
      </c>
      <c r="G42" s="4">
        <v>52</v>
      </c>
      <c r="H42" s="4">
        <v>63</v>
      </c>
      <c r="I42" s="4">
        <v>58</v>
      </c>
      <c r="J42" s="4">
        <v>68</v>
      </c>
      <c r="K42" s="4">
        <v>53</v>
      </c>
      <c r="L42" s="4">
        <v>77</v>
      </c>
      <c r="M42" s="4">
        <v>60</v>
      </c>
      <c r="N42" s="4">
        <v>58</v>
      </c>
      <c r="O42" s="4">
        <v>69</v>
      </c>
      <c r="P42" s="2">
        <f t="shared" si="14"/>
        <v>712</v>
      </c>
      <c r="Q42" s="53">
        <f t="shared" si="15"/>
        <v>109.53846153846153</v>
      </c>
      <c r="S42" s="6" t="s">
        <v>52</v>
      </c>
      <c r="T42" s="51">
        <f>T37-T38-T39-T40-T41</f>
        <v>13095.370370370365</v>
      </c>
      <c r="AA42" s="51"/>
      <c r="AE42" s="51"/>
      <c r="AF42" s="51"/>
      <c r="AG42" s="51"/>
      <c r="AH42" s="51"/>
      <c r="AI42" s="51"/>
      <c r="AM42" s="32" t="s">
        <v>13</v>
      </c>
      <c r="AN42" s="31">
        <v>70.15384615384616</v>
      </c>
      <c r="AO42" s="31" t="s">
        <v>93</v>
      </c>
      <c r="AP42" s="31">
        <f>AN42+AN37</f>
        <v>85.859708709488331</v>
      </c>
    </row>
    <row r="43" spans="1:53" ht="15.5" x14ac:dyDescent="0.3">
      <c r="A43" s="73"/>
      <c r="B43" s="75"/>
      <c r="C43" s="2" t="s">
        <v>17</v>
      </c>
      <c r="D43" s="4">
        <v>44</v>
      </c>
      <c r="E43" s="4">
        <v>58</v>
      </c>
      <c r="F43" s="4">
        <v>68</v>
      </c>
      <c r="G43" s="4">
        <v>54</v>
      </c>
      <c r="H43" s="4">
        <v>77</v>
      </c>
      <c r="I43" s="4">
        <v>66</v>
      </c>
      <c r="J43" s="4">
        <v>54</v>
      </c>
      <c r="K43" s="4">
        <v>49</v>
      </c>
      <c r="L43" s="4">
        <v>67</v>
      </c>
      <c r="M43" s="4">
        <v>66</v>
      </c>
      <c r="N43" s="4">
        <v>64</v>
      </c>
      <c r="O43" s="4">
        <v>45</v>
      </c>
      <c r="P43" s="2">
        <f t="shared" si="14"/>
        <v>712</v>
      </c>
      <c r="Q43" s="53">
        <f t="shared" si="15"/>
        <v>109.53846153846153</v>
      </c>
      <c r="AA43" s="51"/>
      <c r="AE43" s="51"/>
      <c r="AF43" s="51"/>
      <c r="AG43" s="51"/>
      <c r="AH43" s="51"/>
      <c r="AI43" s="51"/>
      <c r="AM43" s="32" t="s">
        <v>12</v>
      </c>
      <c r="AN43" s="31">
        <v>77.692307692307693</v>
      </c>
      <c r="AO43" s="31" t="s">
        <v>93</v>
      </c>
      <c r="AP43" s="31">
        <f>AN43+AN37</f>
        <v>93.398170247949864</v>
      </c>
      <c r="AS43" s="2" t="s">
        <v>46</v>
      </c>
      <c r="AT43" s="53">
        <f>P44^2/(3*3*12)</f>
        <v>249600.59259259258</v>
      </c>
    </row>
    <row r="44" spans="1:53" x14ac:dyDescent="0.3">
      <c r="A44" s="73"/>
      <c r="B44" s="75"/>
      <c r="C44" s="2" t="s">
        <v>33</v>
      </c>
      <c r="D44" s="2">
        <f>SUM(D35:D43)</f>
        <v>352</v>
      </c>
      <c r="E44" s="2">
        <f t="shared" ref="E44:O44" si="16">SUM(E35:E43)</f>
        <v>397</v>
      </c>
      <c r="F44" s="2">
        <f t="shared" si="16"/>
        <v>445</v>
      </c>
      <c r="G44" s="2">
        <f t="shared" si="16"/>
        <v>396</v>
      </c>
      <c r="H44" s="2">
        <f t="shared" si="16"/>
        <v>406</v>
      </c>
      <c r="I44" s="2">
        <f t="shared" si="16"/>
        <v>471</v>
      </c>
      <c r="J44" s="2">
        <f t="shared" si="16"/>
        <v>490</v>
      </c>
      <c r="K44" s="2">
        <f t="shared" si="16"/>
        <v>398</v>
      </c>
      <c r="L44" s="2">
        <f t="shared" si="16"/>
        <v>459</v>
      </c>
      <c r="M44" s="2">
        <f t="shared" si="16"/>
        <v>446</v>
      </c>
      <c r="N44" s="2">
        <f t="shared" si="16"/>
        <v>486</v>
      </c>
      <c r="O44" s="2">
        <f t="shared" si="16"/>
        <v>446</v>
      </c>
      <c r="P44" s="2">
        <f t="shared" si="14"/>
        <v>5192</v>
      </c>
      <c r="Q44" s="53"/>
      <c r="AA44" s="51"/>
      <c r="AE44" s="51"/>
      <c r="AF44" s="51"/>
      <c r="AG44" s="51"/>
      <c r="AH44" s="51"/>
      <c r="AI44" s="51"/>
      <c r="AM44" s="32" t="s">
        <v>9</v>
      </c>
      <c r="AN44" s="31">
        <v>96.461538461538467</v>
      </c>
      <c r="AO44" s="31" t="s">
        <v>94</v>
      </c>
      <c r="AP44" s="31">
        <f>AN44+AN37</f>
        <v>112.16740101718064</v>
      </c>
    </row>
    <row r="45" spans="1:53" x14ac:dyDescent="0.3">
      <c r="A45" s="66"/>
      <c r="B45" s="76"/>
      <c r="C45" s="2" t="s">
        <v>32</v>
      </c>
      <c r="D45" s="53">
        <f>AVERAGE(D35:D43)</f>
        <v>39.111111111111114</v>
      </c>
      <c r="E45" s="53">
        <f t="shared" ref="E45:O45" si="17">AVERAGE(E35:E43)</f>
        <v>44.111111111111114</v>
      </c>
      <c r="F45" s="53">
        <f t="shared" si="17"/>
        <v>49.444444444444443</v>
      </c>
      <c r="G45" s="53">
        <f t="shared" si="17"/>
        <v>44</v>
      </c>
      <c r="H45" s="53">
        <f t="shared" si="17"/>
        <v>45.111111111111114</v>
      </c>
      <c r="I45" s="53">
        <f t="shared" si="17"/>
        <v>52.333333333333336</v>
      </c>
      <c r="J45" s="53">
        <f t="shared" si="17"/>
        <v>54.444444444444443</v>
      </c>
      <c r="K45" s="53">
        <f t="shared" si="17"/>
        <v>44.222222222222221</v>
      </c>
      <c r="L45" s="53">
        <f t="shared" si="17"/>
        <v>51</v>
      </c>
      <c r="M45" s="53">
        <f t="shared" si="17"/>
        <v>49.555555555555557</v>
      </c>
      <c r="N45" s="53">
        <f t="shared" si="17"/>
        <v>54</v>
      </c>
      <c r="O45" s="53">
        <f t="shared" si="17"/>
        <v>49.555555555555557</v>
      </c>
      <c r="P45" s="2"/>
      <c r="Q45" s="53"/>
      <c r="AA45" s="51"/>
      <c r="AE45" s="51"/>
      <c r="AF45" s="51"/>
      <c r="AG45" s="51"/>
      <c r="AH45" s="51"/>
      <c r="AI45" s="51"/>
      <c r="AM45" s="32" t="s">
        <v>14</v>
      </c>
      <c r="AN45" s="31">
        <v>98</v>
      </c>
      <c r="AO45" s="31" t="s">
        <v>94</v>
      </c>
      <c r="AP45" s="31">
        <f>AN45+AN37</f>
        <v>113.70586255564217</v>
      </c>
    </row>
    <row r="46" spans="1:53" x14ac:dyDescent="0.3">
      <c r="Q46" s="51"/>
      <c r="AA46" s="51"/>
      <c r="AE46" s="51"/>
      <c r="AF46" s="51"/>
      <c r="AG46" s="51"/>
      <c r="AH46" s="51"/>
      <c r="AI46" s="51"/>
      <c r="AM46" s="32" t="s">
        <v>15</v>
      </c>
      <c r="AN46" s="31">
        <v>106.30769230769231</v>
      </c>
      <c r="AO46" s="31" t="s">
        <v>94</v>
      </c>
      <c r="AP46" s="31">
        <f>AN46+AN37</f>
        <v>122.01355486333448</v>
      </c>
      <c r="AS46" s="6" t="s">
        <v>97</v>
      </c>
    </row>
    <row r="47" spans="1:53" x14ac:dyDescent="0.3">
      <c r="A47" s="3" t="s">
        <v>18</v>
      </c>
      <c r="B47" s="3" t="s">
        <v>20</v>
      </c>
      <c r="C47" s="65" t="s">
        <v>0</v>
      </c>
      <c r="D47" s="70" t="s">
        <v>1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2"/>
      <c r="P47" s="65" t="s">
        <v>33</v>
      </c>
      <c r="Q47" s="67" t="s">
        <v>32</v>
      </c>
      <c r="V47" s="65" t="s">
        <v>53</v>
      </c>
      <c r="W47" s="70" t="s">
        <v>54</v>
      </c>
      <c r="X47" s="71"/>
      <c r="Y47" s="72"/>
      <c r="Z47" s="65" t="s">
        <v>33</v>
      </c>
      <c r="AA47" s="67" t="s">
        <v>32</v>
      </c>
      <c r="AC47" s="65" t="s">
        <v>61</v>
      </c>
      <c r="AD47" s="65" t="s">
        <v>62</v>
      </c>
      <c r="AE47" s="67" t="s">
        <v>63</v>
      </c>
      <c r="AF47" s="67" t="s">
        <v>64</v>
      </c>
      <c r="AG47" s="67" t="s">
        <v>65</v>
      </c>
      <c r="AH47" s="64" t="s">
        <v>66</v>
      </c>
      <c r="AI47" s="64"/>
      <c r="AJ47" s="65" t="s">
        <v>67</v>
      </c>
      <c r="AK47" s="65" t="s">
        <v>68</v>
      </c>
      <c r="AM47" s="32" t="s">
        <v>16</v>
      </c>
      <c r="AN47" s="31">
        <v>109.53846153846153</v>
      </c>
      <c r="AO47" s="31" t="s">
        <v>94</v>
      </c>
      <c r="AP47" s="31">
        <f>AN47+AN37</f>
        <v>125.2443240941037</v>
      </c>
      <c r="AS47" s="65" t="s">
        <v>61</v>
      </c>
      <c r="AT47" s="65" t="s">
        <v>62</v>
      </c>
      <c r="AU47" s="65" t="s">
        <v>63</v>
      </c>
      <c r="AV47" s="65" t="s">
        <v>64</v>
      </c>
      <c r="AW47" s="65" t="s">
        <v>65</v>
      </c>
      <c r="AX47" s="69" t="s">
        <v>66</v>
      </c>
      <c r="AY47" s="69"/>
      <c r="AZ47" s="65" t="s">
        <v>67</v>
      </c>
      <c r="BA47" s="65" t="s">
        <v>68</v>
      </c>
    </row>
    <row r="48" spans="1:53" x14ac:dyDescent="0.3">
      <c r="A48" s="65">
        <v>4</v>
      </c>
      <c r="B48" s="74" t="s">
        <v>37</v>
      </c>
      <c r="C48" s="73"/>
      <c r="D48" s="70" t="s">
        <v>2</v>
      </c>
      <c r="E48" s="71"/>
      <c r="F48" s="71"/>
      <c r="G48" s="72"/>
      <c r="H48" s="70" t="s">
        <v>7</v>
      </c>
      <c r="I48" s="71"/>
      <c r="J48" s="71"/>
      <c r="K48" s="72"/>
      <c r="L48" s="70" t="s">
        <v>8</v>
      </c>
      <c r="M48" s="71"/>
      <c r="N48" s="71"/>
      <c r="O48" s="72"/>
      <c r="P48" s="73"/>
      <c r="Q48" s="77"/>
      <c r="S48" s="6" t="s">
        <v>71</v>
      </c>
      <c r="T48" s="6">
        <v>12</v>
      </c>
      <c r="V48" s="66"/>
      <c r="W48" s="3" t="s">
        <v>55</v>
      </c>
      <c r="X48" s="3" t="s">
        <v>56</v>
      </c>
      <c r="Y48" s="3" t="s">
        <v>57</v>
      </c>
      <c r="Z48" s="66"/>
      <c r="AA48" s="68"/>
      <c r="AC48" s="66"/>
      <c r="AD48" s="66"/>
      <c r="AE48" s="68"/>
      <c r="AF48" s="68"/>
      <c r="AG48" s="68"/>
      <c r="AH48" s="59">
        <v>0.05</v>
      </c>
      <c r="AI48" s="59">
        <v>0.01</v>
      </c>
      <c r="AJ48" s="66"/>
      <c r="AK48" s="66"/>
      <c r="AM48" s="32" t="s">
        <v>17</v>
      </c>
      <c r="AN48" s="31">
        <v>109.53846153846153</v>
      </c>
      <c r="AO48" s="31" t="s">
        <v>94</v>
      </c>
      <c r="AP48" s="31">
        <f>AN48+AN37</f>
        <v>125.2443240941037</v>
      </c>
      <c r="AS48" s="66"/>
      <c r="AT48" s="66"/>
      <c r="AU48" s="66"/>
      <c r="AV48" s="66"/>
      <c r="AW48" s="66"/>
      <c r="AX48" s="42">
        <v>0.05</v>
      </c>
      <c r="AY48" s="42">
        <v>0.01</v>
      </c>
      <c r="AZ48" s="66"/>
      <c r="BA48" s="66"/>
    </row>
    <row r="49" spans="1:53" x14ac:dyDescent="0.3">
      <c r="A49" s="73"/>
      <c r="B49" s="75"/>
      <c r="C49" s="66"/>
      <c r="D49" s="3" t="s">
        <v>3</v>
      </c>
      <c r="E49" s="3" t="s">
        <v>4</v>
      </c>
      <c r="F49" s="3" t="s">
        <v>5</v>
      </c>
      <c r="G49" s="3" t="s">
        <v>6</v>
      </c>
      <c r="H49" s="3" t="s">
        <v>3</v>
      </c>
      <c r="I49" s="3" t="s">
        <v>4</v>
      </c>
      <c r="J49" s="3" t="s">
        <v>5</v>
      </c>
      <c r="K49" s="3" t="s">
        <v>6</v>
      </c>
      <c r="L49" s="3" t="s">
        <v>3</v>
      </c>
      <c r="M49" s="3" t="s">
        <v>4</v>
      </c>
      <c r="N49" s="3" t="s">
        <v>5</v>
      </c>
      <c r="O49" s="3" t="s">
        <v>6</v>
      </c>
      <c r="P49" s="66"/>
      <c r="Q49" s="68"/>
      <c r="S49" s="6" t="s">
        <v>44</v>
      </c>
      <c r="T49" s="6">
        <v>3</v>
      </c>
      <c r="V49" s="3" t="s">
        <v>58</v>
      </c>
      <c r="W49" s="2">
        <f>SUM(D50:O50)</f>
        <v>683</v>
      </c>
      <c r="X49" s="2">
        <f>SUM(D51:O51)</f>
        <v>490</v>
      </c>
      <c r="Y49" s="2">
        <f>SUM(D52:O52)</f>
        <v>523</v>
      </c>
      <c r="Z49" s="2">
        <f>SUM(W49:Y49)</f>
        <v>1696</v>
      </c>
      <c r="AA49" s="53">
        <f>AVERAGE(W49:Y49)</f>
        <v>565.33333333333337</v>
      </c>
      <c r="AC49" s="3" t="s">
        <v>43</v>
      </c>
      <c r="AD49" s="2">
        <f>12-1</f>
        <v>11</v>
      </c>
      <c r="AE49" s="53">
        <f>T53</f>
        <v>2287.138888888876</v>
      </c>
      <c r="AF49" s="53">
        <f>AE49/AD49</f>
        <v>207.92171717171598</v>
      </c>
      <c r="AG49" s="53">
        <f>AF49/AF53</f>
        <v>1.231842969457134</v>
      </c>
      <c r="AH49" s="53">
        <f>FINV(AH48,AD49,AD53)</f>
        <v>1.8991710184693407</v>
      </c>
      <c r="AI49" s="53">
        <f>FINV(AI48,AD49,AD53)</f>
        <v>2.4560580535880434</v>
      </c>
      <c r="AJ49" s="30" t="s">
        <v>95</v>
      </c>
      <c r="AK49" s="2" t="s">
        <v>73</v>
      </c>
      <c r="AM49" s="43"/>
      <c r="AN49" s="43"/>
      <c r="AO49" s="43"/>
      <c r="AP49" s="43"/>
      <c r="AS49" s="3" t="s">
        <v>43</v>
      </c>
      <c r="AT49" s="2">
        <f>12-1</f>
        <v>11</v>
      </c>
      <c r="AU49" s="6">
        <f>SUMSQ(D59:O59)/(3*3)-AT58</f>
        <v>2287.138888888876</v>
      </c>
      <c r="AV49" s="53">
        <f>AU49/AT49</f>
        <v>207.92171717171598</v>
      </c>
      <c r="AW49" s="53">
        <f>AV49/AV54</f>
        <v>1.231842969457134</v>
      </c>
      <c r="AX49" s="53">
        <f>FINV(AX48,AT49,AT54)</f>
        <v>1.8991710184693407</v>
      </c>
      <c r="AY49" s="53">
        <f>FINV(AY48,AT49,AT54)</f>
        <v>2.4560580535880434</v>
      </c>
      <c r="AZ49" s="2" t="str">
        <f>IF(AW49&gt;AY49,"**",IF(AW49&gt;AX49,"*","TN"))</f>
        <v>TN</v>
      </c>
      <c r="BA49" s="2" t="str">
        <f>IF(AZ49="TN","Tidak Nyata",IF(AZ49="*","Nyata",IF(AZ49="**","Sangat Nyata",0)))</f>
        <v>Tidak Nyata</v>
      </c>
    </row>
    <row r="50" spans="1:53" ht="15.5" x14ac:dyDescent="0.3">
      <c r="A50" s="73"/>
      <c r="B50" s="75"/>
      <c r="C50" s="2" t="s">
        <v>9</v>
      </c>
      <c r="D50" s="4">
        <v>60</v>
      </c>
      <c r="E50" s="4">
        <v>32</v>
      </c>
      <c r="F50" s="4">
        <v>67</v>
      </c>
      <c r="G50" s="4">
        <v>63</v>
      </c>
      <c r="H50" s="4">
        <v>30</v>
      </c>
      <c r="I50" s="4">
        <v>73</v>
      </c>
      <c r="J50" s="4">
        <v>62</v>
      </c>
      <c r="K50" s="4">
        <v>43</v>
      </c>
      <c r="L50" s="4">
        <v>54</v>
      </c>
      <c r="M50" s="4">
        <v>75</v>
      </c>
      <c r="N50" s="4">
        <v>45</v>
      </c>
      <c r="O50" s="4">
        <v>79</v>
      </c>
      <c r="P50" s="2">
        <f>SUM(D50:O50)</f>
        <v>683</v>
      </c>
      <c r="Q50" s="53">
        <f>AVERAGE(D50:O50)</f>
        <v>56.916666666666664</v>
      </c>
      <c r="S50" s="6" t="s">
        <v>45</v>
      </c>
      <c r="T50" s="6">
        <v>3</v>
      </c>
      <c r="V50" s="3" t="s">
        <v>59</v>
      </c>
      <c r="W50" s="2">
        <f>SUM(D53:O53)</f>
        <v>574</v>
      </c>
      <c r="X50" s="2">
        <f>SUM(D54:O54)</f>
        <v>513</v>
      </c>
      <c r="Y50" s="2">
        <f>SUM(D55:O55)</f>
        <v>654</v>
      </c>
      <c r="Z50" s="2">
        <f>SUM(W50:Y50)</f>
        <v>1741</v>
      </c>
      <c r="AA50" s="53">
        <f>AVERAGE(W50:Y50)</f>
        <v>580.33333333333337</v>
      </c>
      <c r="AC50" s="3" t="s">
        <v>45</v>
      </c>
      <c r="AD50" s="2">
        <f>3-1</f>
        <v>2</v>
      </c>
      <c r="AE50" s="53">
        <f>T54</f>
        <v>868.16666666668607</v>
      </c>
      <c r="AF50" s="53">
        <f>AE50/AD50</f>
        <v>434.08333333334303</v>
      </c>
      <c r="AG50" s="53">
        <f>AF50/AF53</f>
        <v>2.5717491640547858</v>
      </c>
      <c r="AH50" s="53">
        <f>FINV(AH48,AD50,AD53)</f>
        <v>3.1000686386371408</v>
      </c>
      <c r="AI50" s="53">
        <f>FINV(AI48,AD50,AD53)</f>
        <v>4.8547979993760721</v>
      </c>
      <c r="AJ50" s="30" t="s">
        <v>95</v>
      </c>
      <c r="AK50" s="2" t="s">
        <v>73</v>
      </c>
      <c r="AM50" s="79" t="s">
        <v>80</v>
      </c>
      <c r="AN50" s="79"/>
      <c r="AO50" s="43"/>
      <c r="AP50" s="43"/>
      <c r="AS50" s="3" t="s">
        <v>98</v>
      </c>
      <c r="AT50" s="2">
        <f>3*3-1</f>
        <v>8</v>
      </c>
      <c r="AU50" s="53">
        <f>SUMSQ(P50:P58)/12-AT58</f>
        <v>17135.666666666686</v>
      </c>
      <c r="AV50" s="53">
        <f t="shared" ref="AV50:AV54" si="18">AU50/AT50</f>
        <v>2141.9583333333358</v>
      </c>
      <c r="AW50" s="53">
        <f>AV50/AV54</f>
        <v>12.690142952252023</v>
      </c>
      <c r="AX50" s="53">
        <f>FINV(AX48,AT50,AT54)</f>
        <v>2.0454143150341193</v>
      </c>
      <c r="AY50" s="53">
        <f>FINV(AY48,AT50,AT54)</f>
        <v>2.720181875728696</v>
      </c>
      <c r="AZ50" s="2" t="str">
        <f>IF(AW50&gt;AY50,"**",IF(AW50&gt;AX50,"*","TN"))</f>
        <v>**</v>
      </c>
      <c r="BA50" s="2" t="str">
        <f t="shared" ref="BA50:BA53" si="19">IF(AZ50="TN","Tidak Nyata",IF(AZ50="*","Nyata",IF(AZ50="**","Sangat Nyata",0)))</f>
        <v>Sangat Nyata</v>
      </c>
    </row>
    <row r="51" spans="1:53" x14ac:dyDescent="0.3">
      <c r="A51" s="73"/>
      <c r="B51" s="75"/>
      <c r="C51" s="2" t="s">
        <v>10</v>
      </c>
      <c r="D51" s="50">
        <v>40</v>
      </c>
      <c r="E51" s="50">
        <v>42</v>
      </c>
      <c r="F51" s="50">
        <v>40</v>
      </c>
      <c r="G51" s="50">
        <v>38</v>
      </c>
      <c r="H51" s="50">
        <v>41</v>
      </c>
      <c r="I51" s="50">
        <v>42</v>
      </c>
      <c r="J51" s="50">
        <v>40</v>
      </c>
      <c r="K51" s="50">
        <v>44</v>
      </c>
      <c r="L51" s="50">
        <v>42</v>
      </c>
      <c r="M51" s="50">
        <v>41</v>
      </c>
      <c r="N51" s="50">
        <v>39</v>
      </c>
      <c r="O51" s="50">
        <v>41</v>
      </c>
      <c r="P51" s="2">
        <f t="shared" ref="P51:P59" si="20">SUM(D51:O51)</f>
        <v>490</v>
      </c>
      <c r="Q51" s="53">
        <f t="shared" ref="Q51:Q58" si="21">AVERAGE(D51:O51)</f>
        <v>40.833333333333336</v>
      </c>
      <c r="S51" s="6" t="s">
        <v>46</v>
      </c>
      <c r="T51" s="51">
        <f>(P59^2)/(12*3*3)</f>
        <v>337680.75</v>
      </c>
      <c r="V51" s="3" t="s">
        <v>60</v>
      </c>
      <c r="W51" s="2">
        <f>SUM(D56:O56)</f>
        <v>874</v>
      </c>
      <c r="X51" s="2">
        <f>SUM(D57:O57)</f>
        <v>879</v>
      </c>
      <c r="Y51" s="2">
        <f>SUM(D58:O58)</f>
        <v>849</v>
      </c>
      <c r="Z51" s="2">
        <f>SUM(W51:Y51)</f>
        <v>2602</v>
      </c>
      <c r="AA51" s="53">
        <f>AVERAGE(W51:Y51)</f>
        <v>867.33333333333337</v>
      </c>
      <c r="AC51" s="3" t="s">
        <v>44</v>
      </c>
      <c r="AD51" s="2">
        <f>3-1</f>
        <v>2</v>
      </c>
      <c r="AE51" s="53">
        <f>T55</f>
        <v>14483.166666666686</v>
      </c>
      <c r="AF51" s="53">
        <f>AE51/AD51</f>
        <v>7241.583333333343</v>
      </c>
      <c r="AG51" s="53">
        <f>AF51/AF53</f>
        <v>42.903135075291253</v>
      </c>
      <c r="AH51" s="53">
        <f>FINV(AH48,AD51,AD53)</f>
        <v>3.1000686386371408</v>
      </c>
      <c r="AI51" s="53">
        <f>FINV(AI48,AD51,AD53)</f>
        <v>4.8547979993760721</v>
      </c>
      <c r="AJ51" s="30" t="s">
        <v>72</v>
      </c>
      <c r="AK51" s="2" t="s">
        <v>92</v>
      </c>
      <c r="AM51" s="32" t="s">
        <v>79</v>
      </c>
      <c r="AN51" s="31">
        <f>SQRT(AF53/12)</f>
        <v>3.7504348793855597</v>
      </c>
      <c r="AO51" s="57"/>
      <c r="AP51" s="58" t="s">
        <v>85</v>
      </c>
      <c r="AS51" s="3" t="s">
        <v>45</v>
      </c>
      <c r="AT51" s="2">
        <f>3-1</f>
        <v>2</v>
      </c>
      <c r="AU51" s="53">
        <f>SUMSQ(W52:Y52)/(3*12)-AT58</f>
        <v>868.16666666668607</v>
      </c>
      <c r="AV51" s="53">
        <f t="shared" si="18"/>
        <v>434.08333333334303</v>
      </c>
      <c r="AW51" s="53">
        <f>AV51/AV54</f>
        <v>2.5717491640547858</v>
      </c>
      <c r="AX51" s="53">
        <f>FINV(AX48,AT51,AT54)</f>
        <v>3.1000686386371408</v>
      </c>
      <c r="AY51" s="53">
        <f>FINV(AY48,AT51,AT54)</f>
        <v>4.8547979993760721</v>
      </c>
      <c r="AZ51" s="2" t="str">
        <f>IF(AW51&gt;AY51,"**",IF(AW51&gt;AX51,"*","TN"))</f>
        <v>TN</v>
      </c>
      <c r="BA51" s="2" t="str">
        <f t="shared" si="19"/>
        <v>Tidak Nyata</v>
      </c>
    </row>
    <row r="52" spans="1:53" x14ac:dyDescent="0.3">
      <c r="A52" s="73"/>
      <c r="B52" s="75"/>
      <c r="C52" s="2" t="s">
        <v>11</v>
      </c>
      <c r="D52" s="50">
        <v>43</v>
      </c>
      <c r="E52" s="50">
        <v>45</v>
      </c>
      <c r="F52" s="50">
        <v>45</v>
      </c>
      <c r="G52" s="50">
        <v>46</v>
      </c>
      <c r="H52" s="50">
        <v>42</v>
      </c>
      <c r="I52" s="50">
        <v>47</v>
      </c>
      <c r="J52" s="50">
        <v>41</v>
      </c>
      <c r="K52" s="50">
        <v>40</v>
      </c>
      <c r="L52" s="50">
        <v>45</v>
      </c>
      <c r="M52" s="50">
        <v>43</v>
      </c>
      <c r="N52" s="50">
        <v>46</v>
      </c>
      <c r="O52" s="50">
        <v>40</v>
      </c>
      <c r="P52" s="2">
        <f t="shared" si="20"/>
        <v>523</v>
      </c>
      <c r="Q52" s="53">
        <f t="shared" si="21"/>
        <v>43.583333333333336</v>
      </c>
      <c r="S52" s="6" t="s">
        <v>47</v>
      </c>
      <c r="T52" s="51">
        <f>SUMSQ(D50:O58)-T51</f>
        <v>34276.25</v>
      </c>
      <c r="V52" s="3" t="s">
        <v>33</v>
      </c>
      <c r="W52" s="2">
        <f>SUM(W49:W51)</f>
        <v>2131</v>
      </c>
      <c r="X52" s="2">
        <f>SUM(X49:X51)</f>
        <v>1882</v>
      </c>
      <c r="Y52" s="2">
        <f>SUM(Y49:Y51)</f>
        <v>2026</v>
      </c>
      <c r="Z52" s="2">
        <f>SUM(W52:Y52)</f>
        <v>6039</v>
      </c>
      <c r="AA52" s="53">
        <f>AVERAGE(W52:Y52)</f>
        <v>2013</v>
      </c>
      <c r="AC52" s="3" t="s">
        <v>69</v>
      </c>
      <c r="AD52" s="2">
        <f>(3-1)*(3-1)</f>
        <v>4</v>
      </c>
      <c r="AE52" s="53">
        <f>T56</f>
        <v>1784.3333333333139</v>
      </c>
      <c r="AF52" s="53">
        <f>AE52/AD52</f>
        <v>446.08333333332848</v>
      </c>
      <c r="AG52" s="53">
        <f>AF52/AF53</f>
        <v>2.6428437848310256</v>
      </c>
      <c r="AH52" s="53">
        <f>FINV(AH48,AD52,AD53)</f>
        <v>2.4752774088696223</v>
      </c>
      <c r="AI52" s="53">
        <f>FINV(AI48,AD52,AD53)</f>
        <v>3.5400845421240663</v>
      </c>
      <c r="AJ52" s="30" t="s">
        <v>72</v>
      </c>
      <c r="AK52" s="2" t="s">
        <v>92</v>
      </c>
      <c r="AM52" s="32" t="s">
        <v>75</v>
      </c>
      <c r="AN52" s="31">
        <v>4.46</v>
      </c>
      <c r="AO52" s="57"/>
      <c r="AP52" s="57"/>
      <c r="AS52" s="3" t="s">
        <v>44</v>
      </c>
      <c r="AT52" s="2">
        <f>3-1</f>
        <v>2</v>
      </c>
      <c r="AU52" s="53">
        <f>SUMSQ(Z49:Z51)/(3*12)-AT58</f>
        <v>14483.166666666686</v>
      </c>
      <c r="AV52" s="53">
        <f t="shared" si="18"/>
        <v>7241.583333333343</v>
      </c>
      <c r="AW52" s="53">
        <f>AV52/AV54</f>
        <v>42.903135075291253</v>
      </c>
      <c r="AX52" s="53">
        <f>FINV(AX48,AT52,AT54)</f>
        <v>3.1000686386371408</v>
      </c>
      <c r="AY52" s="53">
        <f>FINV(AY48,AT52,AT54)</f>
        <v>4.8547979993760721</v>
      </c>
      <c r="AZ52" s="2" t="str">
        <f>IF(AW52&gt;AY52,"**",IF(AW52&gt;AX52,"*","TN"))</f>
        <v>**</v>
      </c>
      <c r="BA52" s="2" t="str">
        <f t="shared" si="19"/>
        <v>Sangat Nyata</v>
      </c>
    </row>
    <row r="53" spans="1:53" ht="15.5" x14ac:dyDescent="0.3">
      <c r="A53" s="73"/>
      <c r="B53" s="75"/>
      <c r="C53" s="2" t="s">
        <v>12</v>
      </c>
      <c r="D53" s="4">
        <v>49</v>
      </c>
      <c r="E53" s="4">
        <v>27</v>
      </c>
      <c r="F53" s="4">
        <v>51</v>
      </c>
      <c r="G53" s="4">
        <v>63</v>
      </c>
      <c r="H53" s="4">
        <v>72</v>
      </c>
      <c r="I53" s="4">
        <v>56</v>
      </c>
      <c r="J53" s="4">
        <v>42</v>
      </c>
      <c r="K53" s="4">
        <v>43</v>
      </c>
      <c r="L53" s="4">
        <v>60</v>
      </c>
      <c r="M53" s="4">
        <v>48</v>
      </c>
      <c r="N53" s="4">
        <v>29</v>
      </c>
      <c r="O53" s="4">
        <v>34</v>
      </c>
      <c r="P53" s="2">
        <f t="shared" si="20"/>
        <v>574</v>
      </c>
      <c r="Q53" s="53">
        <f t="shared" si="21"/>
        <v>47.833333333333336</v>
      </c>
      <c r="S53" s="6" t="s">
        <v>48</v>
      </c>
      <c r="T53" s="51">
        <f>(SUMSQ(D59:O59)/(3*3))-T51</f>
        <v>2287.138888888876</v>
      </c>
      <c r="V53" s="3" t="s">
        <v>32</v>
      </c>
      <c r="W53" s="53">
        <f>AVERAGE(W49:W51)</f>
        <v>710.33333333333337</v>
      </c>
      <c r="X53" s="53">
        <f>AVERAGE(X49:X51)</f>
        <v>627.33333333333337</v>
      </c>
      <c r="Y53" s="53">
        <f>AVERAGE(Y49:Y51)</f>
        <v>675.33333333333337</v>
      </c>
      <c r="Z53" s="2"/>
      <c r="AA53" s="53"/>
      <c r="AC53" s="3" t="s">
        <v>70</v>
      </c>
      <c r="AD53" s="2">
        <f>((3*3)-1)*(12-1)</f>
        <v>88</v>
      </c>
      <c r="AE53" s="53">
        <f>T57</f>
        <v>14853.444444444438</v>
      </c>
      <c r="AF53" s="53">
        <f>AE53/AD53</f>
        <v>168.78914141414134</v>
      </c>
      <c r="AG53" s="53"/>
      <c r="AH53" s="53"/>
      <c r="AI53" s="53"/>
      <c r="AJ53" s="2"/>
      <c r="AK53" s="2"/>
      <c r="AM53" s="32" t="s">
        <v>76</v>
      </c>
      <c r="AN53" s="54">
        <f>AN52*AN51</f>
        <v>16.726939562059595</v>
      </c>
      <c r="AO53" s="57"/>
      <c r="AP53" s="57"/>
      <c r="AS53" s="3" t="s">
        <v>69</v>
      </c>
      <c r="AT53" s="2">
        <f>AT51*AT52</f>
        <v>4</v>
      </c>
      <c r="AU53" s="53">
        <f>AU50-AU51-AU52</f>
        <v>1784.3333333333139</v>
      </c>
      <c r="AV53" s="53">
        <f t="shared" si="18"/>
        <v>446.08333333332848</v>
      </c>
      <c r="AW53" s="53">
        <f>AV53/AV54</f>
        <v>2.6428437848310256</v>
      </c>
      <c r="AX53" s="53">
        <f>FINV(AX48,AT53,AT54)</f>
        <v>2.4752774088696223</v>
      </c>
      <c r="AY53" s="53">
        <f>FINV(AY48,AT53,AT54)</f>
        <v>3.5400845421240663</v>
      </c>
      <c r="AZ53" s="2" t="str">
        <f>IF(AW53&gt;AY53,"**",IF(AW53&gt;AX53,"*","TN"))</f>
        <v>*</v>
      </c>
      <c r="BA53" s="2" t="str">
        <f t="shared" si="19"/>
        <v>Nyata</v>
      </c>
    </row>
    <row r="54" spans="1:53" ht="15.5" x14ac:dyDescent="0.3">
      <c r="A54" s="73"/>
      <c r="B54" s="75"/>
      <c r="C54" s="2" t="s">
        <v>13</v>
      </c>
      <c r="D54" s="4">
        <v>45</v>
      </c>
      <c r="E54" s="4">
        <v>48</v>
      </c>
      <c r="F54" s="4">
        <v>40</v>
      </c>
      <c r="G54" s="4">
        <v>23</v>
      </c>
      <c r="H54" s="4">
        <v>44</v>
      </c>
      <c r="I54" s="4">
        <v>43</v>
      </c>
      <c r="J54" s="4">
        <v>44</v>
      </c>
      <c r="K54" s="4">
        <v>49</v>
      </c>
      <c r="L54" s="4">
        <v>44</v>
      </c>
      <c r="M54" s="4">
        <v>48</v>
      </c>
      <c r="N54" s="4">
        <v>46</v>
      </c>
      <c r="O54" s="4">
        <v>39</v>
      </c>
      <c r="P54" s="2">
        <f t="shared" si="20"/>
        <v>513</v>
      </c>
      <c r="Q54" s="53">
        <f t="shared" si="21"/>
        <v>42.75</v>
      </c>
      <c r="S54" s="6" t="s">
        <v>50</v>
      </c>
      <c r="T54" s="51">
        <f>(SUMSQ(W52:Y52)/(12*3))-T51</f>
        <v>868.16666666668607</v>
      </c>
      <c r="AA54" s="51"/>
      <c r="AC54" s="3" t="s">
        <v>33</v>
      </c>
      <c r="AD54" s="2">
        <f>(3*3*12)-1</f>
        <v>107</v>
      </c>
      <c r="AE54" s="53">
        <f>T52</f>
        <v>34276.25</v>
      </c>
      <c r="AF54" s="53"/>
      <c r="AG54" s="53"/>
      <c r="AH54" s="53"/>
      <c r="AI54" s="53"/>
      <c r="AJ54" s="2"/>
      <c r="AK54" s="2"/>
      <c r="AM54" s="43"/>
      <c r="AN54" s="57"/>
      <c r="AO54" s="57"/>
      <c r="AP54" s="57"/>
      <c r="AS54" s="3" t="s">
        <v>70</v>
      </c>
      <c r="AT54" s="2">
        <f>AT55-AT49-AT50</f>
        <v>88</v>
      </c>
      <c r="AU54" s="53">
        <f>AU55-AU49-AU50</f>
        <v>14853.444444444438</v>
      </c>
      <c r="AV54" s="53">
        <f t="shared" si="18"/>
        <v>168.78914141414134</v>
      </c>
      <c r="AW54" s="53"/>
      <c r="AX54" s="53"/>
      <c r="AY54" s="53"/>
      <c r="AZ54" s="2"/>
      <c r="BA54" s="2"/>
    </row>
    <row r="55" spans="1:53" ht="15.5" x14ac:dyDescent="0.3">
      <c r="A55" s="73"/>
      <c r="B55" s="75"/>
      <c r="C55" s="2" t="s">
        <v>14</v>
      </c>
      <c r="D55" s="4">
        <v>41</v>
      </c>
      <c r="E55" s="4">
        <v>80</v>
      </c>
      <c r="F55" s="4">
        <v>42</v>
      </c>
      <c r="G55" s="4">
        <v>37</v>
      </c>
      <c r="H55" s="4">
        <v>44</v>
      </c>
      <c r="I55" s="4">
        <v>61</v>
      </c>
      <c r="J55" s="4">
        <v>46</v>
      </c>
      <c r="K55" s="4">
        <v>42</v>
      </c>
      <c r="L55" s="4">
        <v>81</v>
      </c>
      <c r="M55" s="4">
        <v>51</v>
      </c>
      <c r="N55" s="4">
        <v>73</v>
      </c>
      <c r="O55" s="4">
        <v>56</v>
      </c>
      <c r="P55" s="2">
        <f t="shared" si="20"/>
        <v>654</v>
      </c>
      <c r="Q55" s="53">
        <f t="shared" si="21"/>
        <v>54.5</v>
      </c>
      <c r="S55" s="6" t="s">
        <v>49</v>
      </c>
      <c r="T55" s="51">
        <f>(SUMSQ(Z49:Z51)/(12*3))-T51</f>
        <v>14483.166666666686</v>
      </c>
      <c r="AA55" s="51"/>
      <c r="AE55" s="51"/>
      <c r="AF55" s="51"/>
      <c r="AG55" s="51"/>
      <c r="AH55" s="51"/>
      <c r="AI55" s="51"/>
      <c r="AM55" s="32" t="s">
        <v>81</v>
      </c>
      <c r="AN55" s="31" t="s">
        <v>32</v>
      </c>
      <c r="AO55" s="31" t="s">
        <v>67</v>
      </c>
      <c r="AP55" s="31" t="s">
        <v>77</v>
      </c>
      <c r="AS55" s="3" t="s">
        <v>33</v>
      </c>
      <c r="AT55" s="2">
        <f>(3*3*12)-1</f>
        <v>107</v>
      </c>
      <c r="AU55" s="53">
        <f>SUMSQ(D50:O58)-AT58</f>
        <v>34276.25</v>
      </c>
      <c r="AV55" s="53"/>
      <c r="AW55" s="53"/>
      <c r="AX55" s="53"/>
      <c r="AY55" s="53"/>
      <c r="AZ55" s="2"/>
      <c r="BA55" s="2"/>
    </row>
    <row r="56" spans="1:53" ht="15.5" x14ac:dyDescent="0.3">
      <c r="A56" s="73"/>
      <c r="B56" s="75"/>
      <c r="C56" s="2" t="s">
        <v>15</v>
      </c>
      <c r="D56" s="4">
        <v>54</v>
      </c>
      <c r="E56" s="4">
        <v>89</v>
      </c>
      <c r="F56" s="4">
        <v>75</v>
      </c>
      <c r="G56" s="4">
        <v>63</v>
      </c>
      <c r="H56" s="4">
        <v>42</v>
      </c>
      <c r="I56" s="4">
        <v>79</v>
      </c>
      <c r="J56" s="4">
        <v>73</v>
      </c>
      <c r="K56" s="4">
        <v>86</v>
      </c>
      <c r="L56" s="4">
        <v>75</v>
      </c>
      <c r="M56" s="4">
        <v>70</v>
      </c>
      <c r="N56" s="4">
        <v>94</v>
      </c>
      <c r="O56" s="4">
        <v>74</v>
      </c>
      <c r="P56" s="2">
        <f t="shared" si="20"/>
        <v>874</v>
      </c>
      <c r="Q56" s="53">
        <f t="shared" si="21"/>
        <v>72.833333333333329</v>
      </c>
      <c r="S56" s="6" t="s">
        <v>51</v>
      </c>
      <c r="T56" s="51">
        <f>(SUMSQ(W49:Y51)/(12))-T51-T54-T55</f>
        <v>1784.3333333333139</v>
      </c>
      <c r="AA56" s="51"/>
      <c r="AE56" s="51"/>
      <c r="AF56" s="51"/>
      <c r="AG56" s="51"/>
      <c r="AH56" s="51"/>
      <c r="AI56" s="51"/>
      <c r="AM56" s="32" t="s">
        <v>10</v>
      </c>
      <c r="AN56" s="31">
        <v>40.833333333333336</v>
      </c>
      <c r="AO56" s="31" t="s">
        <v>93</v>
      </c>
      <c r="AP56" s="31">
        <f>AN56+AN53</f>
        <v>57.560272895392927</v>
      </c>
    </row>
    <row r="57" spans="1:53" ht="15.5" x14ac:dyDescent="0.3">
      <c r="A57" s="73"/>
      <c r="B57" s="75"/>
      <c r="C57" s="2" t="s">
        <v>16</v>
      </c>
      <c r="D57" s="4">
        <v>58</v>
      </c>
      <c r="E57" s="4">
        <v>78</v>
      </c>
      <c r="F57" s="4">
        <v>73</v>
      </c>
      <c r="G57" s="4">
        <v>65</v>
      </c>
      <c r="H57" s="4">
        <v>49</v>
      </c>
      <c r="I57" s="4">
        <v>53</v>
      </c>
      <c r="J57" s="4">
        <v>80</v>
      </c>
      <c r="K57" s="4">
        <v>75</v>
      </c>
      <c r="L57" s="4">
        <v>111</v>
      </c>
      <c r="M57" s="4">
        <v>53</v>
      </c>
      <c r="N57" s="4">
        <v>111</v>
      </c>
      <c r="O57" s="4">
        <v>73</v>
      </c>
      <c r="P57" s="2">
        <f t="shared" si="20"/>
        <v>879</v>
      </c>
      <c r="Q57" s="53">
        <f t="shared" si="21"/>
        <v>73.25</v>
      </c>
      <c r="S57" s="6" t="s">
        <v>52</v>
      </c>
      <c r="T57" s="51">
        <f>T52-T53-T54-T55-T56</f>
        <v>14853.444444444438</v>
      </c>
      <c r="AA57" s="51"/>
      <c r="AE57" s="51"/>
      <c r="AF57" s="51"/>
      <c r="AG57" s="51"/>
      <c r="AH57" s="51"/>
      <c r="AI57" s="51"/>
      <c r="AM57" s="32" t="s">
        <v>13</v>
      </c>
      <c r="AN57" s="31">
        <v>42.75</v>
      </c>
      <c r="AO57" s="31" t="s">
        <v>93</v>
      </c>
      <c r="AP57" s="31">
        <f>AN57+AN53</f>
        <v>59.476939562059599</v>
      </c>
    </row>
    <row r="58" spans="1:53" ht="15.5" x14ac:dyDescent="0.3">
      <c r="A58" s="73"/>
      <c r="B58" s="75"/>
      <c r="C58" s="2" t="s">
        <v>17</v>
      </c>
      <c r="D58" s="4">
        <v>48</v>
      </c>
      <c r="E58" s="4">
        <v>63</v>
      </c>
      <c r="F58" s="4">
        <v>79</v>
      </c>
      <c r="G58" s="4">
        <v>75</v>
      </c>
      <c r="H58" s="4">
        <v>82</v>
      </c>
      <c r="I58" s="4">
        <v>74</v>
      </c>
      <c r="J58" s="4">
        <v>64</v>
      </c>
      <c r="K58" s="4">
        <v>74</v>
      </c>
      <c r="L58" s="4">
        <v>69</v>
      </c>
      <c r="M58" s="4">
        <v>49</v>
      </c>
      <c r="N58" s="4">
        <v>85</v>
      </c>
      <c r="O58" s="4">
        <v>87</v>
      </c>
      <c r="P58" s="2">
        <f t="shared" si="20"/>
        <v>849</v>
      </c>
      <c r="Q58" s="53">
        <f t="shared" si="21"/>
        <v>70.75</v>
      </c>
      <c r="AA58" s="51"/>
      <c r="AE58" s="51"/>
      <c r="AF58" s="51"/>
      <c r="AG58" s="51"/>
      <c r="AH58" s="51"/>
      <c r="AI58" s="51"/>
      <c r="AM58" s="32" t="s">
        <v>11</v>
      </c>
      <c r="AN58" s="31">
        <v>43.583333333333336</v>
      </c>
      <c r="AO58" s="31" t="s">
        <v>93</v>
      </c>
      <c r="AP58" s="31">
        <f>AN58+AN53</f>
        <v>60.310272895392927</v>
      </c>
      <c r="AS58" s="2" t="s">
        <v>46</v>
      </c>
      <c r="AT58" s="53">
        <f>P59^2/(3*3*12)</f>
        <v>337680.75</v>
      </c>
    </row>
    <row r="59" spans="1:53" x14ac:dyDescent="0.3">
      <c r="A59" s="73"/>
      <c r="B59" s="75"/>
      <c r="C59" s="2" t="s">
        <v>33</v>
      </c>
      <c r="D59" s="2">
        <f>SUM(D50:D58)</f>
        <v>438</v>
      </c>
      <c r="E59" s="2">
        <f t="shared" ref="E59:O59" si="22">SUM(E50:E58)</f>
        <v>504</v>
      </c>
      <c r="F59" s="2">
        <f t="shared" si="22"/>
        <v>512</v>
      </c>
      <c r="G59" s="2">
        <f t="shared" si="22"/>
        <v>473</v>
      </c>
      <c r="H59" s="2">
        <f t="shared" si="22"/>
        <v>446</v>
      </c>
      <c r="I59" s="2">
        <f t="shared" si="22"/>
        <v>528</v>
      </c>
      <c r="J59" s="2">
        <f t="shared" si="22"/>
        <v>492</v>
      </c>
      <c r="K59" s="2">
        <f t="shared" si="22"/>
        <v>496</v>
      </c>
      <c r="L59" s="2">
        <f t="shared" si="22"/>
        <v>581</v>
      </c>
      <c r="M59" s="2">
        <f t="shared" si="22"/>
        <v>478</v>
      </c>
      <c r="N59" s="2">
        <f t="shared" si="22"/>
        <v>568</v>
      </c>
      <c r="O59" s="2">
        <f t="shared" si="22"/>
        <v>523</v>
      </c>
      <c r="P59" s="2">
        <f t="shared" si="20"/>
        <v>6039</v>
      </c>
      <c r="Q59" s="53"/>
      <c r="AA59" s="51"/>
      <c r="AE59" s="51"/>
      <c r="AF59" s="51"/>
      <c r="AG59" s="51"/>
      <c r="AH59" s="51"/>
      <c r="AI59" s="51"/>
      <c r="AM59" s="32" t="s">
        <v>12</v>
      </c>
      <c r="AN59" s="31">
        <v>47.833333333333336</v>
      </c>
      <c r="AO59" s="31" t="s">
        <v>93</v>
      </c>
      <c r="AP59" s="31">
        <f>AN59+AN53</f>
        <v>64.560272895392927</v>
      </c>
    </row>
    <row r="60" spans="1:53" x14ac:dyDescent="0.3">
      <c r="A60" s="66"/>
      <c r="B60" s="76"/>
      <c r="C60" s="2" t="s">
        <v>32</v>
      </c>
      <c r="D60" s="53">
        <f>AVERAGE(D50:D58)</f>
        <v>48.666666666666664</v>
      </c>
      <c r="E60" s="53">
        <f t="shared" ref="E60:O60" si="23">AVERAGE(E50:E58)</f>
        <v>56</v>
      </c>
      <c r="F60" s="53">
        <f t="shared" si="23"/>
        <v>56.888888888888886</v>
      </c>
      <c r="G60" s="53">
        <f t="shared" si="23"/>
        <v>52.555555555555557</v>
      </c>
      <c r="H60" s="53">
        <f t="shared" si="23"/>
        <v>49.555555555555557</v>
      </c>
      <c r="I60" s="53">
        <f t="shared" si="23"/>
        <v>58.666666666666664</v>
      </c>
      <c r="J60" s="53">
        <f t="shared" si="23"/>
        <v>54.666666666666664</v>
      </c>
      <c r="K60" s="53">
        <f t="shared" si="23"/>
        <v>55.111111111111114</v>
      </c>
      <c r="L60" s="53">
        <f t="shared" si="23"/>
        <v>64.555555555555557</v>
      </c>
      <c r="M60" s="53">
        <f t="shared" si="23"/>
        <v>53.111111111111114</v>
      </c>
      <c r="N60" s="53">
        <f t="shared" si="23"/>
        <v>63.111111111111114</v>
      </c>
      <c r="O60" s="53">
        <f t="shared" si="23"/>
        <v>58.111111111111114</v>
      </c>
      <c r="P60" s="2"/>
      <c r="Q60" s="53"/>
      <c r="AA60" s="51"/>
      <c r="AE60" s="51"/>
      <c r="AF60" s="51"/>
      <c r="AG60" s="51"/>
      <c r="AH60" s="51"/>
      <c r="AI60" s="51"/>
      <c r="AM60" s="32" t="s">
        <v>14</v>
      </c>
      <c r="AN60" s="31">
        <v>54.5</v>
      </c>
      <c r="AO60" s="31" t="s">
        <v>99</v>
      </c>
      <c r="AP60" s="31">
        <f>AN60+AN53</f>
        <v>71.226939562059599</v>
      </c>
    </row>
    <row r="61" spans="1:53" x14ac:dyDescent="0.3">
      <c r="Q61" s="51"/>
      <c r="AA61" s="51"/>
      <c r="AE61" s="51"/>
      <c r="AF61" s="51"/>
      <c r="AG61" s="51"/>
      <c r="AH61" s="51"/>
      <c r="AI61" s="51"/>
      <c r="AM61" s="32" t="s">
        <v>9</v>
      </c>
      <c r="AN61" s="31">
        <v>56.916666666666664</v>
      </c>
      <c r="AO61" s="31" t="s">
        <v>100</v>
      </c>
      <c r="AP61" s="31">
        <f>AN61+AN53</f>
        <v>73.643606228726256</v>
      </c>
      <c r="AS61" s="6" t="s">
        <v>97</v>
      </c>
    </row>
    <row r="62" spans="1:53" x14ac:dyDescent="0.3">
      <c r="A62" s="3" t="s">
        <v>18</v>
      </c>
      <c r="B62" s="3" t="s">
        <v>20</v>
      </c>
      <c r="C62" s="65" t="s">
        <v>0</v>
      </c>
      <c r="D62" s="70" t="s">
        <v>1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2"/>
      <c r="P62" s="65" t="s">
        <v>33</v>
      </c>
      <c r="Q62" s="67" t="s">
        <v>32</v>
      </c>
      <c r="V62" s="65" t="s">
        <v>53</v>
      </c>
      <c r="W62" s="70" t="s">
        <v>54</v>
      </c>
      <c r="X62" s="71"/>
      <c r="Y62" s="72"/>
      <c r="Z62" s="65" t="s">
        <v>33</v>
      </c>
      <c r="AA62" s="67" t="s">
        <v>32</v>
      </c>
      <c r="AC62" s="65" t="s">
        <v>61</v>
      </c>
      <c r="AD62" s="65" t="s">
        <v>62</v>
      </c>
      <c r="AE62" s="67" t="s">
        <v>63</v>
      </c>
      <c r="AF62" s="67" t="s">
        <v>64</v>
      </c>
      <c r="AG62" s="67" t="s">
        <v>65</v>
      </c>
      <c r="AH62" s="64" t="s">
        <v>66</v>
      </c>
      <c r="AI62" s="64"/>
      <c r="AJ62" s="65" t="s">
        <v>67</v>
      </c>
      <c r="AK62" s="65" t="s">
        <v>68</v>
      </c>
      <c r="AM62" s="32" t="s">
        <v>17</v>
      </c>
      <c r="AN62" s="31">
        <v>70.75</v>
      </c>
      <c r="AO62" s="31" t="s">
        <v>101</v>
      </c>
      <c r="AP62" s="31">
        <f>AN62+AN53</f>
        <v>87.476939562059599</v>
      </c>
      <c r="AS62" s="65" t="s">
        <v>61</v>
      </c>
      <c r="AT62" s="65" t="s">
        <v>62</v>
      </c>
      <c r="AU62" s="65" t="s">
        <v>63</v>
      </c>
      <c r="AV62" s="65" t="s">
        <v>64</v>
      </c>
      <c r="AW62" s="65" t="s">
        <v>65</v>
      </c>
      <c r="AX62" s="69" t="s">
        <v>66</v>
      </c>
      <c r="AY62" s="69"/>
      <c r="AZ62" s="65" t="s">
        <v>67</v>
      </c>
      <c r="BA62" s="65" t="s">
        <v>68</v>
      </c>
    </row>
    <row r="63" spans="1:53" x14ac:dyDescent="0.3">
      <c r="A63" s="65">
        <v>5</v>
      </c>
      <c r="B63" s="74" t="s">
        <v>38</v>
      </c>
      <c r="C63" s="73"/>
      <c r="D63" s="70" t="s">
        <v>2</v>
      </c>
      <c r="E63" s="71"/>
      <c r="F63" s="71"/>
      <c r="G63" s="72"/>
      <c r="H63" s="70" t="s">
        <v>7</v>
      </c>
      <c r="I63" s="71"/>
      <c r="J63" s="71"/>
      <c r="K63" s="72"/>
      <c r="L63" s="70" t="s">
        <v>8</v>
      </c>
      <c r="M63" s="71"/>
      <c r="N63" s="71"/>
      <c r="O63" s="72"/>
      <c r="P63" s="73"/>
      <c r="Q63" s="77"/>
      <c r="S63" s="6" t="s">
        <v>71</v>
      </c>
      <c r="T63" s="6">
        <v>12</v>
      </c>
      <c r="V63" s="66"/>
      <c r="W63" s="3" t="s">
        <v>55</v>
      </c>
      <c r="X63" s="3" t="s">
        <v>56</v>
      </c>
      <c r="Y63" s="3" t="s">
        <v>57</v>
      </c>
      <c r="Z63" s="66"/>
      <c r="AA63" s="68"/>
      <c r="AC63" s="66"/>
      <c r="AD63" s="66"/>
      <c r="AE63" s="68"/>
      <c r="AF63" s="68"/>
      <c r="AG63" s="68"/>
      <c r="AH63" s="59">
        <v>0.05</v>
      </c>
      <c r="AI63" s="59">
        <v>0.01</v>
      </c>
      <c r="AJ63" s="66"/>
      <c r="AK63" s="66"/>
      <c r="AM63" s="32" t="s">
        <v>15</v>
      </c>
      <c r="AN63" s="31">
        <v>72.833333333333329</v>
      </c>
      <c r="AO63" s="31" t="s">
        <v>102</v>
      </c>
      <c r="AP63" s="31">
        <f>AN63+AN53</f>
        <v>89.560272895392927</v>
      </c>
      <c r="AS63" s="66"/>
      <c r="AT63" s="66"/>
      <c r="AU63" s="66"/>
      <c r="AV63" s="66"/>
      <c r="AW63" s="66"/>
      <c r="AX63" s="42">
        <v>0.05</v>
      </c>
      <c r="AY63" s="42">
        <v>0.01</v>
      </c>
      <c r="AZ63" s="66"/>
      <c r="BA63" s="66"/>
    </row>
    <row r="64" spans="1:53" x14ac:dyDescent="0.3">
      <c r="A64" s="73"/>
      <c r="B64" s="75"/>
      <c r="C64" s="66"/>
      <c r="D64" s="3" t="s">
        <v>3</v>
      </c>
      <c r="E64" s="3" t="s">
        <v>4</v>
      </c>
      <c r="F64" s="3" t="s">
        <v>5</v>
      </c>
      <c r="G64" s="3" t="s">
        <v>6</v>
      </c>
      <c r="H64" s="3" t="s">
        <v>3</v>
      </c>
      <c r="I64" s="3" t="s">
        <v>4</v>
      </c>
      <c r="J64" s="3" t="s">
        <v>5</v>
      </c>
      <c r="K64" s="3" t="s">
        <v>6</v>
      </c>
      <c r="L64" s="3" t="s">
        <v>3</v>
      </c>
      <c r="M64" s="3" t="s">
        <v>4</v>
      </c>
      <c r="N64" s="3" t="s">
        <v>5</v>
      </c>
      <c r="O64" s="3" t="s">
        <v>6</v>
      </c>
      <c r="P64" s="66"/>
      <c r="Q64" s="68"/>
      <c r="S64" s="6" t="s">
        <v>44</v>
      </c>
      <c r="T64" s="6">
        <v>3</v>
      </c>
      <c r="V64" s="3" t="s">
        <v>58</v>
      </c>
      <c r="W64" s="2">
        <f>SUM(D65:O65)</f>
        <v>765</v>
      </c>
      <c r="X64" s="2">
        <f>SUM(D66:O66)</f>
        <v>627</v>
      </c>
      <c r="Y64" s="2">
        <f>SUM(D67:O67)</f>
        <v>621</v>
      </c>
      <c r="Z64" s="2">
        <f>SUM(W64:Y64)</f>
        <v>2013</v>
      </c>
      <c r="AA64" s="53">
        <f>AVERAGE(W64:Y64)</f>
        <v>671</v>
      </c>
      <c r="AC64" s="3" t="s">
        <v>43</v>
      </c>
      <c r="AD64" s="2">
        <f>12-1</f>
        <v>11</v>
      </c>
      <c r="AE64" s="53">
        <f>T68</f>
        <v>1586.1851851852261</v>
      </c>
      <c r="AF64" s="53">
        <f>AE64/AD64</f>
        <v>144.19865319865693</v>
      </c>
      <c r="AG64" s="53">
        <f>AF64/AF68</f>
        <v>0.72678213463722974</v>
      </c>
      <c r="AH64" s="53">
        <f>FINV(AH63,AD64,AD68)</f>
        <v>1.8991710184693407</v>
      </c>
      <c r="AI64" s="53">
        <f>FINV(AI63,AD64,AD68)</f>
        <v>2.4560580535880434</v>
      </c>
      <c r="AJ64" s="30" t="s">
        <v>95</v>
      </c>
      <c r="AK64" s="2"/>
      <c r="AM64" s="32" t="s">
        <v>16</v>
      </c>
      <c r="AN64" s="31">
        <v>73.25</v>
      </c>
      <c r="AO64" s="31" t="s">
        <v>102</v>
      </c>
      <c r="AP64" s="31">
        <f>AN64+AN53</f>
        <v>89.976939562059599</v>
      </c>
      <c r="AS64" s="3" t="s">
        <v>43</v>
      </c>
      <c r="AT64" s="2">
        <f>12-1</f>
        <v>11</v>
      </c>
      <c r="AU64" s="6">
        <f>SUMSQ(D74:O74)/(3*3)-AT73</f>
        <v>1586.1851851852261</v>
      </c>
      <c r="AV64" s="53">
        <f>AU64/AT64</f>
        <v>144.19865319865693</v>
      </c>
      <c r="AW64" s="53">
        <f>AV64/AV69</f>
        <v>0.72678213463722974</v>
      </c>
      <c r="AX64" s="53">
        <f>FINV(AX63,AT64,AT69)</f>
        <v>1.8991710184693407</v>
      </c>
      <c r="AY64" s="53">
        <f>FINV(AY63,AT64,AT69)</f>
        <v>2.4560580535880434</v>
      </c>
      <c r="AZ64" s="2" t="str">
        <f>IF(AW64&gt;AY64,"**",IF(AW64&gt;AX64,"*","TN"))</f>
        <v>TN</v>
      </c>
      <c r="BA64" s="2" t="str">
        <f>IF(AZ64="TN","Tidak Nyata",IF(AZ64="*","Nyata",IF(AZ64="**","Sangat Nyata",0)))</f>
        <v>Tidak Nyata</v>
      </c>
    </row>
    <row r="65" spans="1:53" ht="15.5" x14ac:dyDescent="0.3">
      <c r="A65" s="73"/>
      <c r="B65" s="75"/>
      <c r="C65" s="2" t="s">
        <v>9</v>
      </c>
      <c r="D65" s="4">
        <v>62</v>
      </c>
      <c r="E65" s="4">
        <v>46</v>
      </c>
      <c r="F65" s="4">
        <v>73</v>
      </c>
      <c r="G65" s="4">
        <v>62</v>
      </c>
      <c r="H65" s="4">
        <v>35</v>
      </c>
      <c r="I65" s="4">
        <v>77</v>
      </c>
      <c r="J65" s="4">
        <v>78</v>
      </c>
      <c r="K65" s="4">
        <v>67</v>
      </c>
      <c r="L65" s="4">
        <v>61</v>
      </c>
      <c r="M65" s="4">
        <v>73</v>
      </c>
      <c r="N65" s="4">
        <v>57</v>
      </c>
      <c r="O65" s="4">
        <v>74</v>
      </c>
      <c r="P65" s="2">
        <f>SUM(D65:O65)</f>
        <v>765</v>
      </c>
      <c r="Q65" s="53">
        <f>AVERAGE(D65:O65)</f>
        <v>63.75</v>
      </c>
      <c r="S65" s="6" t="s">
        <v>45</v>
      </c>
      <c r="T65" s="6">
        <v>3</v>
      </c>
      <c r="V65" s="3" t="s">
        <v>59</v>
      </c>
      <c r="W65" s="2">
        <f>SUM(D68:O68)</f>
        <v>573</v>
      </c>
      <c r="X65" s="2">
        <f>SUM(D69:O69)</f>
        <v>491</v>
      </c>
      <c r="Y65" s="2">
        <f>SUM(D70:O70)</f>
        <v>528</v>
      </c>
      <c r="Z65" s="2">
        <f>SUM(W65:Y65)</f>
        <v>1592</v>
      </c>
      <c r="AA65" s="53">
        <f>AVERAGE(W65:Y65)</f>
        <v>530.66666666666663</v>
      </c>
      <c r="AC65" s="3" t="s">
        <v>45</v>
      </c>
      <c r="AD65" s="2">
        <f>3-1</f>
        <v>2</v>
      </c>
      <c r="AE65" s="53">
        <f>T69</f>
        <v>642.12962962966412</v>
      </c>
      <c r="AF65" s="53">
        <f>AE65/AD65</f>
        <v>321.06481481483206</v>
      </c>
      <c r="AG65" s="53">
        <f>AF65/AF68</f>
        <v>1.6182132515936973</v>
      </c>
      <c r="AH65" s="53">
        <f>FINV(AH63,AD65,AD68)</f>
        <v>3.1000686386371408</v>
      </c>
      <c r="AI65" s="53">
        <f>FINV(AI63,AD65,AD68)</f>
        <v>4.8547979993760721</v>
      </c>
      <c r="AJ65" s="30" t="s">
        <v>95</v>
      </c>
      <c r="AK65" s="2"/>
      <c r="AM65" s="43"/>
      <c r="AN65" s="43"/>
      <c r="AO65" s="43"/>
      <c r="AP65" s="43"/>
      <c r="AS65" s="3" t="s">
        <v>98</v>
      </c>
      <c r="AT65" s="2">
        <f>3*3-1</f>
        <v>8</v>
      </c>
      <c r="AU65" s="53">
        <f>SUMSQ(P65:P73)/12-AT73</f>
        <v>14037.074074074102</v>
      </c>
      <c r="AV65" s="53">
        <f t="shared" ref="AV65:AV69" si="24">AU65/AT65</f>
        <v>1754.6342592592628</v>
      </c>
      <c r="AW65" s="53">
        <f>AV65/AV69</f>
        <v>8.8436112554755741</v>
      </c>
      <c r="AX65" s="53">
        <f>FINV(AX63,AT65,AT69)</f>
        <v>2.0454143150341193</v>
      </c>
      <c r="AY65" s="53">
        <f>FINV(AY63,AT65,AT69)</f>
        <v>2.720181875728696</v>
      </c>
      <c r="AZ65" s="2" t="str">
        <f>IF(AW65&gt;AY65,"**",IF(AW65&gt;AX65,"*","TN"))</f>
        <v>**</v>
      </c>
      <c r="BA65" s="2" t="str">
        <f t="shared" ref="BA65:BA68" si="25">IF(AZ65="TN","Tidak Nyata",IF(AZ65="*","Nyata",IF(AZ65="**","Sangat Nyata",0)))</f>
        <v>Sangat Nyata</v>
      </c>
    </row>
    <row r="66" spans="1:53" x14ac:dyDescent="0.3">
      <c r="A66" s="73"/>
      <c r="B66" s="75"/>
      <c r="C66" s="2" t="s">
        <v>10</v>
      </c>
      <c r="D66" s="50">
        <v>51</v>
      </c>
      <c r="E66" s="50">
        <v>50</v>
      </c>
      <c r="F66" s="50">
        <v>52</v>
      </c>
      <c r="G66" s="50">
        <v>55</v>
      </c>
      <c r="H66" s="50">
        <v>53</v>
      </c>
      <c r="I66" s="50">
        <v>56</v>
      </c>
      <c r="J66" s="50">
        <v>49</v>
      </c>
      <c r="K66" s="50">
        <v>50</v>
      </c>
      <c r="L66" s="50">
        <v>51</v>
      </c>
      <c r="M66" s="50">
        <v>52</v>
      </c>
      <c r="N66" s="50">
        <v>55</v>
      </c>
      <c r="O66" s="50">
        <v>53</v>
      </c>
      <c r="P66" s="2">
        <f t="shared" ref="P66:P74" si="26">SUM(D66:O66)</f>
        <v>627</v>
      </c>
      <c r="Q66" s="53">
        <f t="shared" ref="Q66:Q73" si="27">AVERAGE(D66:O66)</f>
        <v>52.25</v>
      </c>
      <c r="S66" s="6" t="s">
        <v>46</v>
      </c>
      <c r="T66" s="51">
        <f>(P74^2)/(12*3*3)</f>
        <v>349752.9259259259</v>
      </c>
      <c r="V66" s="3" t="s">
        <v>60</v>
      </c>
      <c r="W66" s="2">
        <f>SUM(D71:O71)</f>
        <v>829</v>
      </c>
      <c r="X66" s="2">
        <f>SUM(D72:O72)</f>
        <v>839</v>
      </c>
      <c r="Y66" s="2">
        <f>SUM(D73:O73)</f>
        <v>873</v>
      </c>
      <c r="Z66" s="2">
        <f>SUM(W66:Y66)</f>
        <v>2541</v>
      </c>
      <c r="AA66" s="53">
        <f>AVERAGE(W66:Y66)</f>
        <v>847</v>
      </c>
      <c r="AC66" s="3" t="s">
        <v>44</v>
      </c>
      <c r="AD66" s="2">
        <f>3-1</f>
        <v>2</v>
      </c>
      <c r="AE66" s="53">
        <f>T70</f>
        <v>12561.351851851854</v>
      </c>
      <c r="AF66" s="53">
        <f>AE66/AD66</f>
        <v>6280.675925925927</v>
      </c>
      <c r="AG66" s="53">
        <f>AF66/AF68</f>
        <v>31.6555179618808</v>
      </c>
      <c r="AH66" s="53">
        <f>FINV(AH63,AD66,AD68)</f>
        <v>3.1000686386371408</v>
      </c>
      <c r="AI66" s="53">
        <f>FINV(AI63,AD66,AD68)</f>
        <v>4.8547979993760721</v>
      </c>
      <c r="AJ66" s="30" t="s">
        <v>72</v>
      </c>
      <c r="AK66" s="2"/>
      <c r="AM66" s="79" t="s">
        <v>80</v>
      </c>
      <c r="AN66" s="79"/>
      <c r="AO66" s="43"/>
      <c r="AP66" s="43"/>
      <c r="AS66" s="3" t="s">
        <v>45</v>
      </c>
      <c r="AT66" s="2">
        <f>3-1</f>
        <v>2</v>
      </c>
      <c r="AU66" s="53">
        <f>SUMSQ(W67:Y67)/(3*12)-AT73</f>
        <v>642.12962962966412</v>
      </c>
      <c r="AV66" s="53">
        <f t="shared" si="24"/>
        <v>321.06481481483206</v>
      </c>
      <c r="AW66" s="53">
        <f>AV66/AV69</f>
        <v>1.6182132515936973</v>
      </c>
      <c r="AX66" s="53">
        <f>FINV(AX63,AT66,AT69)</f>
        <v>3.1000686386371408</v>
      </c>
      <c r="AY66" s="53">
        <f>FINV(AY63,AT66,AT69)</f>
        <v>4.8547979993760721</v>
      </c>
      <c r="AZ66" s="2" t="str">
        <f>IF(AW66&gt;AY66,"**",IF(AW66&gt;AX66,"*","TN"))</f>
        <v>TN</v>
      </c>
      <c r="BA66" s="2" t="str">
        <f t="shared" si="25"/>
        <v>Tidak Nyata</v>
      </c>
    </row>
    <row r="67" spans="1:53" x14ac:dyDescent="0.3">
      <c r="A67" s="73"/>
      <c r="B67" s="75"/>
      <c r="C67" s="2" t="s">
        <v>11</v>
      </c>
      <c r="D67" s="50">
        <v>52</v>
      </c>
      <c r="E67" s="50">
        <v>50</v>
      </c>
      <c r="F67" s="50">
        <v>49</v>
      </c>
      <c r="G67" s="50">
        <v>48</v>
      </c>
      <c r="H67" s="50">
        <v>52</v>
      </c>
      <c r="I67" s="50">
        <v>51</v>
      </c>
      <c r="J67" s="50">
        <v>54</v>
      </c>
      <c r="K67" s="50">
        <v>56</v>
      </c>
      <c r="L67" s="50">
        <v>54</v>
      </c>
      <c r="M67" s="50">
        <v>50</v>
      </c>
      <c r="N67" s="50">
        <v>52</v>
      </c>
      <c r="O67" s="50">
        <v>53</v>
      </c>
      <c r="P67" s="2">
        <f t="shared" si="26"/>
        <v>621</v>
      </c>
      <c r="Q67" s="53">
        <f t="shared" si="27"/>
        <v>51.75</v>
      </c>
      <c r="S67" s="6" t="s">
        <v>47</v>
      </c>
      <c r="T67" s="51">
        <f>SUMSQ(D65:O73)-T66</f>
        <v>33083.074074074102</v>
      </c>
      <c r="V67" s="3" t="s">
        <v>33</v>
      </c>
      <c r="W67" s="2">
        <f>SUM(W64:W66)</f>
        <v>2167</v>
      </c>
      <c r="X67" s="2">
        <f>SUM(X64:X66)</f>
        <v>1957</v>
      </c>
      <c r="Y67" s="2">
        <f>SUM(Y64:Y66)</f>
        <v>2022</v>
      </c>
      <c r="Z67" s="2">
        <f>SUM(W67:Y67)</f>
        <v>6146</v>
      </c>
      <c r="AA67" s="53">
        <f>AVERAGE(W67:Y67)</f>
        <v>2048.6666666666665</v>
      </c>
      <c r="AC67" s="3" t="s">
        <v>69</v>
      </c>
      <c r="AD67" s="2">
        <f>(3-1)*(3-1)</f>
        <v>4</v>
      </c>
      <c r="AE67" s="53">
        <f>T71</f>
        <v>833.59259259258397</v>
      </c>
      <c r="AF67" s="53">
        <f>AE67/AD67</f>
        <v>208.39814814814599</v>
      </c>
      <c r="AG67" s="53">
        <f>AF67/AF68</f>
        <v>1.0503569042139007</v>
      </c>
      <c r="AH67" s="53">
        <f>FINV(AH63,AD67,AD68)</f>
        <v>2.4752774088696223</v>
      </c>
      <c r="AI67" s="53">
        <f>FINV(AI63,AD67,AD68)</f>
        <v>3.5400845421240663</v>
      </c>
      <c r="AJ67" s="30" t="s">
        <v>95</v>
      </c>
      <c r="AK67" s="2"/>
      <c r="AM67" s="32" t="s">
        <v>79</v>
      </c>
      <c r="AN67" s="31">
        <f>SQRT(AF68/12)</f>
        <v>4.0661917741705409</v>
      </c>
      <c r="AO67" s="57"/>
      <c r="AP67" s="58" t="s">
        <v>86</v>
      </c>
      <c r="AS67" s="3" t="s">
        <v>44</v>
      </c>
      <c r="AT67" s="2">
        <f>3-1</f>
        <v>2</v>
      </c>
      <c r="AU67" s="53">
        <f>SUMSQ(Z64:Z66)/(3*12)-AT73</f>
        <v>12561.351851851854</v>
      </c>
      <c r="AV67" s="53">
        <f t="shared" si="24"/>
        <v>6280.675925925927</v>
      </c>
      <c r="AW67" s="53">
        <f>AV67/AV69</f>
        <v>31.6555179618808</v>
      </c>
      <c r="AX67" s="53">
        <f>FINV(AX63,AT67,AT69)</f>
        <v>3.1000686386371408</v>
      </c>
      <c r="AY67" s="53">
        <f>FINV(AY63,AT67,AT69)</f>
        <v>4.8547979993760721</v>
      </c>
      <c r="AZ67" s="2" t="str">
        <f>IF(AW67&gt;AY67,"**",IF(AW67&gt;AX67,"*","TN"))</f>
        <v>**</v>
      </c>
      <c r="BA67" s="2" t="str">
        <f t="shared" si="25"/>
        <v>Sangat Nyata</v>
      </c>
    </row>
    <row r="68" spans="1:53" ht="15.5" x14ac:dyDescent="0.3">
      <c r="A68" s="73"/>
      <c r="B68" s="75"/>
      <c r="C68" s="2" t="s">
        <v>12</v>
      </c>
      <c r="D68" s="4">
        <v>62</v>
      </c>
      <c r="E68" s="4">
        <v>34</v>
      </c>
      <c r="F68" s="4">
        <v>46</v>
      </c>
      <c r="G68" s="4">
        <v>50</v>
      </c>
      <c r="H68" s="4">
        <v>64</v>
      </c>
      <c r="I68" s="4">
        <v>62</v>
      </c>
      <c r="J68" s="4">
        <v>54</v>
      </c>
      <c r="K68" s="4">
        <v>47</v>
      </c>
      <c r="L68" s="4">
        <v>24</v>
      </c>
      <c r="M68" s="4">
        <v>32</v>
      </c>
      <c r="N68" s="4">
        <v>50</v>
      </c>
      <c r="O68" s="4">
        <v>48</v>
      </c>
      <c r="P68" s="2">
        <f t="shared" si="26"/>
        <v>573</v>
      </c>
      <c r="Q68" s="53">
        <f t="shared" si="27"/>
        <v>47.75</v>
      </c>
      <c r="S68" s="6" t="s">
        <v>48</v>
      </c>
      <c r="T68" s="51">
        <f>(SUMSQ(D74:O74)/(3*3))-T66</f>
        <v>1586.1851851852261</v>
      </c>
      <c r="V68" s="3" t="s">
        <v>32</v>
      </c>
      <c r="W68" s="53">
        <f>AVERAGE(W64:W66)</f>
        <v>722.33333333333337</v>
      </c>
      <c r="X68" s="53">
        <f>AVERAGE(X64:X66)</f>
        <v>652.33333333333337</v>
      </c>
      <c r="Y68" s="53">
        <f>AVERAGE(Y64:Y66)</f>
        <v>674</v>
      </c>
      <c r="Z68" s="2"/>
      <c r="AA68" s="53"/>
      <c r="AC68" s="3" t="s">
        <v>70</v>
      </c>
      <c r="AD68" s="2">
        <f>((3*3)-1)*(12-1)</f>
        <v>88</v>
      </c>
      <c r="AE68" s="53">
        <f>T72</f>
        <v>17459.814814814774</v>
      </c>
      <c r="AF68" s="53">
        <f>AE68/AD68</f>
        <v>198.40698653198606</v>
      </c>
      <c r="AG68" s="53"/>
      <c r="AH68" s="53"/>
      <c r="AI68" s="53"/>
      <c r="AJ68" s="2"/>
      <c r="AK68" s="2"/>
      <c r="AM68" s="32" t="s">
        <v>75</v>
      </c>
      <c r="AN68" s="31">
        <v>4.46</v>
      </c>
      <c r="AO68" s="57"/>
      <c r="AP68" s="57"/>
      <c r="AS68" s="3" t="s">
        <v>69</v>
      </c>
      <c r="AT68" s="2">
        <f>AT66*AT67</f>
        <v>4</v>
      </c>
      <c r="AU68" s="53">
        <f>AU65-AU66-AU67</f>
        <v>833.59259259258397</v>
      </c>
      <c r="AV68" s="53">
        <f t="shared" si="24"/>
        <v>208.39814814814599</v>
      </c>
      <c r="AW68" s="53">
        <f>AV68/AV69</f>
        <v>1.0503569042139007</v>
      </c>
      <c r="AX68" s="53">
        <f>FINV(AX63,AT68,AT69)</f>
        <v>2.4752774088696223</v>
      </c>
      <c r="AY68" s="53">
        <f>FINV(AY63,AT68,AT69)</f>
        <v>3.5400845421240663</v>
      </c>
      <c r="AZ68" s="2" t="str">
        <f>IF(AW68&gt;AY68,"**",IF(AW68&gt;AX68,"*","TN"))</f>
        <v>TN</v>
      </c>
      <c r="BA68" s="2" t="str">
        <f t="shared" si="25"/>
        <v>Tidak Nyata</v>
      </c>
    </row>
    <row r="69" spans="1:53" ht="15.5" x14ac:dyDescent="0.3">
      <c r="A69" s="73"/>
      <c r="B69" s="75"/>
      <c r="C69" s="2" t="s">
        <v>13</v>
      </c>
      <c r="D69" s="4">
        <v>46</v>
      </c>
      <c r="E69" s="4">
        <v>44</v>
      </c>
      <c r="F69" s="4">
        <v>34</v>
      </c>
      <c r="G69" s="4">
        <v>24</v>
      </c>
      <c r="H69" s="4">
        <v>62</v>
      </c>
      <c r="I69" s="4">
        <v>45</v>
      </c>
      <c r="J69" s="4">
        <v>46</v>
      </c>
      <c r="K69" s="4">
        <v>36</v>
      </c>
      <c r="L69" s="4">
        <v>24</v>
      </c>
      <c r="M69" s="4">
        <v>32</v>
      </c>
      <c r="N69" s="4">
        <v>50</v>
      </c>
      <c r="O69" s="4">
        <v>48</v>
      </c>
      <c r="P69" s="2">
        <f t="shared" si="26"/>
        <v>491</v>
      </c>
      <c r="Q69" s="53">
        <f t="shared" si="27"/>
        <v>40.916666666666664</v>
      </c>
      <c r="S69" s="6" t="s">
        <v>50</v>
      </c>
      <c r="T69" s="51">
        <f>(SUMSQ(W67:Y67)/(12*3))-T66</f>
        <v>642.12962962966412</v>
      </c>
      <c r="AA69" s="51"/>
      <c r="AC69" s="3" t="s">
        <v>33</v>
      </c>
      <c r="AD69" s="2">
        <f>(3*3*12)-1</f>
        <v>107</v>
      </c>
      <c r="AE69" s="53">
        <f>T67</f>
        <v>33083.074074074102</v>
      </c>
      <c r="AF69" s="53"/>
      <c r="AG69" s="53"/>
      <c r="AH69" s="53"/>
      <c r="AI69" s="53"/>
      <c r="AJ69" s="2"/>
      <c r="AK69" s="2"/>
      <c r="AM69" s="32" t="s">
        <v>76</v>
      </c>
      <c r="AN69" s="54">
        <f>AN68*AN67</f>
        <v>18.135215312800611</v>
      </c>
      <c r="AO69" s="57"/>
      <c r="AP69" s="57"/>
      <c r="AS69" s="3" t="s">
        <v>70</v>
      </c>
      <c r="AT69" s="2">
        <f>AT70-AT64-AT65</f>
        <v>88</v>
      </c>
      <c r="AU69" s="53">
        <f>AU70-AU64-AU65</f>
        <v>17459.814814814774</v>
      </c>
      <c r="AV69" s="53">
        <f t="shared" si="24"/>
        <v>198.40698653198606</v>
      </c>
      <c r="AW69" s="53"/>
      <c r="AX69" s="53"/>
      <c r="AY69" s="53"/>
      <c r="AZ69" s="2"/>
      <c r="BA69" s="2"/>
    </row>
    <row r="70" spans="1:53" ht="15.5" x14ac:dyDescent="0.3">
      <c r="A70" s="73"/>
      <c r="B70" s="75"/>
      <c r="C70" s="2" t="s">
        <v>14</v>
      </c>
      <c r="D70" s="4">
        <v>51</v>
      </c>
      <c r="E70" s="4">
        <v>48</v>
      </c>
      <c r="F70" s="4">
        <v>30</v>
      </c>
      <c r="G70" s="4">
        <v>44</v>
      </c>
      <c r="H70" s="4">
        <v>80</v>
      </c>
      <c r="I70" s="4">
        <v>43</v>
      </c>
      <c r="J70" s="4">
        <v>41</v>
      </c>
      <c r="K70" s="4">
        <v>41</v>
      </c>
      <c r="L70" s="4">
        <v>32</v>
      </c>
      <c r="M70" s="4">
        <v>40</v>
      </c>
      <c r="N70" s="4">
        <v>40</v>
      </c>
      <c r="O70" s="4">
        <v>38</v>
      </c>
      <c r="P70" s="2">
        <f t="shared" si="26"/>
        <v>528</v>
      </c>
      <c r="Q70" s="53">
        <f t="shared" si="27"/>
        <v>44</v>
      </c>
      <c r="S70" s="6" t="s">
        <v>49</v>
      </c>
      <c r="T70" s="51">
        <f>(SUMSQ(Z64:Z66)/(12*3))-T66</f>
        <v>12561.351851851854</v>
      </c>
      <c r="AA70" s="51"/>
      <c r="AE70" s="51"/>
      <c r="AF70" s="51"/>
      <c r="AG70" s="51"/>
      <c r="AH70" s="51"/>
      <c r="AI70" s="51"/>
      <c r="AM70" s="43"/>
      <c r="AN70" s="57"/>
      <c r="AO70" s="57"/>
      <c r="AP70" s="57"/>
      <c r="AS70" s="3" t="s">
        <v>33</v>
      </c>
      <c r="AT70" s="2">
        <f>(3*3*12)-1</f>
        <v>107</v>
      </c>
      <c r="AU70" s="53">
        <f>SUMSQ(D65:O73)-AT73</f>
        <v>33083.074074074102</v>
      </c>
      <c r="AV70" s="53"/>
      <c r="AW70" s="53"/>
      <c r="AX70" s="53"/>
      <c r="AY70" s="53"/>
      <c r="AZ70" s="2"/>
      <c r="BA70" s="2"/>
    </row>
    <row r="71" spans="1:53" ht="15.5" x14ac:dyDescent="0.3">
      <c r="A71" s="73"/>
      <c r="B71" s="75"/>
      <c r="C71" s="2" t="s">
        <v>15</v>
      </c>
      <c r="D71" s="4">
        <v>60</v>
      </c>
      <c r="E71" s="4">
        <v>70</v>
      </c>
      <c r="F71" s="4">
        <v>75</v>
      </c>
      <c r="G71" s="4">
        <v>65</v>
      </c>
      <c r="H71" s="4">
        <v>35</v>
      </c>
      <c r="I71" s="4">
        <v>74</v>
      </c>
      <c r="J71" s="4">
        <v>64</v>
      </c>
      <c r="K71" s="4">
        <v>74</v>
      </c>
      <c r="L71" s="4">
        <v>69</v>
      </c>
      <c r="M71" s="4">
        <v>68</v>
      </c>
      <c r="N71" s="4">
        <v>89</v>
      </c>
      <c r="O71" s="4">
        <v>86</v>
      </c>
      <c r="P71" s="2">
        <f t="shared" si="26"/>
        <v>829</v>
      </c>
      <c r="Q71" s="53">
        <f t="shared" si="27"/>
        <v>69.083333333333329</v>
      </c>
      <c r="S71" s="6" t="s">
        <v>51</v>
      </c>
      <c r="T71" s="51">
        <f>(SUMSQ(W64:Y66)/(12))-T66-T69-T70</f>
        <v>833.59259259258397</v>
      </c>
      <c r="AA71" s="51"/>
      <c r="AE71" s="51"/>
      <c r="AF71" s="51"/>
      <c r="AG71" s="51"/>
      <c r="AH71" s="51"/>
      <c r="AI71" s="51"/>
      <c r="AM71" s="32" t="s">
        <v>81</v>
      </c>
      <c r="AN71" s="31" t="s">
        <v>32</v>
      </c>
      <c r="AO71" s="31" t="s">
        <v>67</v>
      </c>
      <c r="AP71" s="31" t="s">
        <v>77</v>
      </c>
    </row>
    <row r="72" spans="1:53" ht="15.5" x14ac:dyDescent="0.3">
      <c r="A72" s="73"/>
      <c r="B72" s="75"/>
      <c r="C72" s="2" t="s">
        <v>16</v>
      </c>
      <c r="D72" s="4">
        <v>88</v>
      </c>
      <c r="E72" s="4">
        <v>88</v>
      </c>
      <c r="F72" s="4">
        <v>75</v>
      </c>
      <c r="G72" s="4">
        <v>40</v>
      </c>
      <c r="H72" s="4">
        <v>50</v>
      </c>
      <c r="I72" s="4">
        <v>40</v>
      </c>
      <c r="J72" s="4">
        <v>65</v>
      </c>
      <c r="K72" s="4">
        <v>85</v>
      </c>
      <c r="L72" s="4">
        <v>86</v>
      </c>
      <c r="M72" s="4">
        <v>50</v>
      </c>
      <c r="N72" s="4">
        <v>104</v>
      </c>
      <c r="O72" s="4">
        <v>68</v>
      </c>
      <c r="P72" s="2">
        <f t="shared" si="26"/>
        <v>839</v>
      </c>
      <c r="Q72" s="53">
        <f t="shared" si="27"/>
        <v>69.916666666666671</v>
      </c>
      <c r="S72" s="6" t="s">
        <v>52</v>
      </c>
      <c r="T72" s="51">
        <f>T67-T68-T69-T70-T71</f>
        <v>17459.814814814774</v>
      </c>
      <c r="AA72" s="51"/>
      <c r="AE72" s="51"/>
      <c r="AF72" s="51"/>
      <c r="AG72" s="51"/>
      <c r="AH72" s="51"/>
      <c r="AI72" s="51"/>
      <c r="AM72" s="32" t="s">
        <v>13</v>
      </c>
      <c r="AN72" s="31">
        <v>40.916666666666664</v>
      </c>
      <c r="AO72" s="31" t="s">
        <v>93</v>
      </c>
      <c r="AP72" s="31">
        <f>AN72+AN69</f>
        <v>59.051881979467275</v>
      </c>
    </row>
    <row r="73" spans="1:53" ht="15.5" x14ac:dyDescent="0.3">
      <c r="A73" s="73"/>
      <c r="B73" s="75"/>
      <c r="C73" s="2" t="s">
        <v>17</v>
      </c>
      <c r="D73" s="4">
        <v>50</v>
      </c>
      <c r="E73" s="4">
        <v>72</v>
      </c>
      <c r="F73" s="4">
        <v>112</v>
      </c>
      <c r="G73" s="4">
        <v>94</v>
      </c>
      <c r="H73" s="4">
        <v>96</v>
      </c>
      <c r="I73" s="4">
        <v>50</v>
      </c>
      <c r="J73" s="4">
        <v>50</v>
      </c>
      <c r="K73" s="4">
        <v>52</v>
      </c>
      <c r="L73" s="4">
        <v>72</v>
      </c>
      <c r="M73" s="4">
        <v>55</v>
      </c>
      <c r="N73" s="4">
        <v>80</v>
      </c>
      <c r="O73" s="4">
        <v>90</v>
      </c>
      <c r="P73" s="2">
        <f t="shared" si="26"/>
        <v>873</v>
      </c>
      <c r="Q73" s="53">
        <f t="shared" si="27"/>
        <v>72.75</v>
      </c>
      <c r="AA73" s="51"/>
      <c r="AE73" s="51"/>
      <c r="AF73" s="51"/>
      <c r="AG73" s="51"/>
      <c r="AH73" s="51"/>
      <c r="AI73" s="51"/>
      <c r="AM73" s="32" t="s">
        <v>14</v>
      </c>
      <c r="AN73" s="31">
        <v>44</v>
      </c>
      <c r="AO73" s="31" t="s">
        <v>93</v>
      </c>
      <c r="AP73" s="31">
        <f>AN73+AN69</f>
        <v>62.135215312800611</v>
      </c>
      <c r="AS73" s="2" t="s">
        <v>46</v>
      </c>
      <c r="AT73" s="53">
        <f>P74^2/(3*3*12)</f>
        <v>349752.9259259259</v>
      </c>
    </row>
    <row r="74" spans="1:53" x14ac:dyDescent="0.3">
      <c r="A74" s="73"/>
      <c r="B74" s="75"/>
      <c r="C74" s="2" t="s">
        <v>33</v>
      </c>
      <c r="D74" s="2">
        <f>SUM(D65:D73)</f>
        <v>522</v>
      </c>
      <c r="E74" s="2">
        <f t="shared" ref="E74:O74" si="28">SUM(E65:E73)</f>
        <v>502</v>
      </c>
      <c r="F74" s="2">
        <f t="shared" si="28"/>
        <v>546</v>
      </c>
      <c r="G74" s="2">
        <f t="shared" si="28"/>
        <v>482</v>
      </c>
      <c r="H74" s="2">
        <f t="shared" si="28"/>
        <v>527</v>
      </c>
      <c r="I74" s="2">
        <f t="shared" si="28"/>
        <v>498</v>
      </c>
      <c r="J74" s="2">
        <f t="shared" si="28"/>
        <v>501</v>
      </c>
      <c r="K74" s="2">
        <f t="shared" si="28"/>
        <v>508</v>
      </c>
      <c r="L74" s="2">
        <f t="shared" si="28"/>
        <v>473</v>
      </c>
      <c r="M74" s="2">
        <f t="shared" si="28"/>
        <v>452</v>
      </c>
      <c r="N74" s="2">
        <f t="shared" si="28"/>
        <v>577</v>
      </c>
      <c r="O74" s="2">
        <f t="shared" si="28"/>
        <v>558</v>
      </c>
      <c r="P74" s="2">
        <f t="shared" si="26"/>
        <v>6146</v>
      </c>
      <c r="Q74" s="53"/>
      <c r="AA74" s="51"/>
      <c r="AE74" s="51"/>
      <c r="AF74" s="51"/>
      <c r="AG74" s="51"/>
      <c r="AH74" s="51"/>
      <c r="AI74" s="51"/>
      <c r="AM74" s="32" t="s">
        <v>12</v>
      </c>
      <c r="AN74" s="31">
        <v>47.75</v>
      </c>
      <c r="AO74" s="31" t="s">
        <v>99</v>
      </c>
      <c r="AP74" s="31">
        <f>AN74+AN69</f>
        <v>65.885215312800611</v>
      </c>
    </row>
    <row r="75" spans="1:53" x14ac:dyDescent="0.3">
      <c r="A75" s="66"/>
      <c r="B75" s="76"/>
      <c r="C75" s="2" t="s">
        <v>32</v>
      </c>
      <c r="D75" s="53">
        <f>AVERAGE(D65:D73)</f>
        <v>58</v>
      </c>
      <c r="E75" s="53">
        <f t="shared" ref="E75:O75" si="29">AVERAGE(E65:E73)</f>
        <v>55.777777777777779</v>
      </c>
      <c r="F75" s="53">
        <f t="shared" si="29"/>
        <v>60.666666666666664</v>
      </c>
      <c r="G75" s="53">
        <f t="shared" si="29"/>
        <v>53.555555555555557</v>
      </c>
      <c r="H75" s="53">
        <f t="shared" si="29"/>
        <v>58.555555555555557</v>
      </c>
      <c r="I75" s="53">
        <f t="shared" si="29"/>
        <v>55.333333333333336</v>
      </c>
      <c r="J75" s="53">
        <f t="shared" si="29"/>
        <v>55.666666666666664</v>
      </c>
      <c r="K75" s="53">
        <f t="shared" si="29"/>
        <v>56.444444444444443</v>
      </c>
      <c r="L75" s="53">
        <f t="shared" si="29"/>
        <v>52.555555555555557</v>
      </c>
      <c r="M75" s="53">
        <f t="shared" si="29"/>
        <v>50.222222222222221</v>
      </c>
      <c r="N75" s="53">
        <f t="shared" si="29"/>
        <v>64.111111111111114</v>
      </c>
      <c r="O75" s="53">
        <f t="shared" si="29"/>
        <v>62</v>
      </c>
      <c r="P75" s="2"/>
      <c r="Q75" s="53"/>
      <c r="AA75" s="51"/>
      <c r="AE75" s="51"/>
      <c r="AF75" s="51"/>
      <c r="AG75" s="51"/>
      <c r="AH75" s="51"/>
      <c r="AI75" s="51"/>
      <c r="AM75" s="32" t="s">
        <v>11</v>
      </c>
      <c r="AN75" s="31">
        <v>51.75</v>
      </c>
      <c r="AO75" s="31" t="s">
        <v>100</v>
      </c>
      <c r="AP75" s="31">
        <f>AN75+AN69</f>
        <v>69.885215312800611</v>
      </c>
    </row>
    <row r="76" spans="1:53" x14ac:dyDescent="0.3">
      <c r="Q76" s="51"/>
      <c r="AA76" s="51"/>
      <c r="AE76" s="51"/>
      <c r="AF76" s="51"/>
      <c r="AG76" s="51"/>
      <c r="AH76" s="51"/>
      <c r="AI76" s="51"/>
      <c r="AM76" s="32" t="s">
        <v>10</v>
      </c>
      <c r="AN76" s="31">
        <v>52.25</v>
      </c>
      <c r="AO76" s="31" t="s">
        <v>103</v>
      </c>
      <c r="AP76" s="31">
        <f>AN76+AN69</f>
        <v>70.385215312800611</v>
      </c>
      <c r="AS76" s="6" t="s">
        <v>97</v>
      </c>
    </row>
    <row r="77" spans="1:53" x14ac:dyDescent="0.3">
      <c r="A77" s="3" t="s">
        <v>18</v>
      </c>
      <c r="B77" s="3" t="s">
        <v>20</v>
      </c>
      <c r="C77" s="65" t="s">
        <v>0</v>
      </c>
      <c r="D77" s="70" t="s">
        <v>1</v>
      </c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2"/>
      <c r="P77" s="65" t="s">
        <v>33</v>
      </c>
      <c r="Q77" s="67" t="s">
        <v>32</v>
      </c>
      <c r="V77" s="65" t="s">
        <v>53</v>
      </c>
      <c r="W77" s="70" t="s">
        <v>54</v>
      </c>
      <c r="X77" s="71"/>
      <c r="Y77" s="72"/>
      <c r="Z77" s="65" t="s">
        <v>33</v>
      </c>
      <c r="AA77" s="67" t="s">
        <v>32</v>
      </c>
      <c r="AC77" s="65" t="s">
        <v>61</v>
      </c>
      <c r="AD77" s="65" t="s">
        <v>62</v>
      </c>
      <c r="AE77" s="67" t="s">
        <v>63</v>
      </c>
      <c r="AF77" s="67" t="s">
        <v>64</v>
      </c>
      <c r="AG77" s="67" t="s">
        <v>65</v>
      </c>
      <c r="AH77" s="64" t="s">
        <v>66</v>
      </c>
      <c r="AI77" s="64"/>
      <c r="AJ77" s="65" t="s">
        <v>67</v>
      </c>
      <c r="AK77" s="65" t="s">
        <v>68</v>
      </c>
      <c r="AM77" s="32" t="s">
        <v>9</v>
      </c>
      <c r="AN77" s="31">
        <v>63.75</v>
      </c>
      <c r="AO77" s="31" t="s">
        <v>108</v>
      </c>
      <c r="AP77" s="31">
        <f>AN77+AN69</f>
        <v>81.885215312800611</v>
      </c>
      <c r="AS77" s="65" t="s">
        <v>61</v>
      </c>
      <c r="AT77" s="65" t="s">
        <v>62</v>
      </c>
      <c r="AU77" s="65" t="s">
        <v>63</v>
      </c>
      <c r="AV77" s="65" t="s">
        <v>64</v>
      </c>
      <c r="AW77" s="65" t="s">
        <v>65</v>
      </c>
      <c r="AX77" s="69" t="s">
        <v>66</v>
      </c>
      <c r="AY77" s="69"/>
      <c r="AZ77" s="65" t="s">
        <v>67</v>
      </c>
      <c r="BA77" s="65" t="s">
        <v>68</v>
      </c>
    </row>
    <row r="78" spans="1:53" x14ac:dyDescent="0.3">
      <c r="A78" s="65">
        <v>6</v>
      </c>
      <c r="B78" s="74" t="s">
        <v>39</v>
      </c>
      <c r="C78" s="73"/>
      <c r="D78" s="70" t="s">
        <v>2</v>
      </c>
      <c r="E78" s="71"/>
      <c r="F78" s="71"/>
      <c r="G78" s="72"/>
      <c r="H78" s="70" t="s">
        <v>7</v>
      </c>
      <c r="I78" s="71"/>
      <c r="J78" s="71"/>
      <c r="K78" s="72"/>
      <c r="L78" s="70" t="s">
        <v>8</v>
      </c>
      <c r="M78" s="71"/>
      <c r="N78" s="71"/>
      <c r="O78" s="72"/>
      <c r="P78" s="73"/>
      <c r="Q78" s="77"/>
      <c r="S78" s="6" t="s">
        <v>71</v>
      </c>
      <c r="T78" s="6">
        <v>12</v>
      </c>
      <c r="V78" s="66"/>
      <c r="W78" s="3" t="s">
        <v>55</v>
      </c>
      <c r="X78" s="3" t="s">
        <v>56</v>
      </c>
      <c r="Y78" s="3" t="s">
        <v>57</v>
      </c>
      <c r="Z78" s="66"/>
      <c r="AA78" s="68"/>
      <c r="AC78" s="66"/>
      <c r="AD78" s="66"/>
      <c r="AE78" s="68"/>
      <c r="AF78" s="68"/>
      <c r="AG78" s="68"/>
      <c r="AH78" s="59">
        <v>0.05</v>
      </c>
      <c r="AI78" s="59">
        <v>0.01</v>
      </c>
      <c r="AJ78" s="66"/>
      <c r="AK78" s="66"/>
      <c r="AM78" s="32" t="s">
        <v>15</v>
      </c>
      <c r="AN78" s="31">
        <v>69.083333333333329</v>
      </c>
      <c r="AO78" s="31" t="s">
        <v>109</v>
      </c>
      <c r="AP78" s="31">
        <f>AN78+AN70</f>
        <v>69.083333333333329</v>
      </c>
      <c r="AS78" s="66"/>
      <c r="AT78" s="66"/>
      <c r="AU78" s="66"/>
      <c r="AV78" s="66"/>
      <c r="AW78" s="66"/>
      <c r="AX78" s="42">
        <v>0.05</v>
      </c>
      <c r="AY78" s="42">
        <v>0.01</v>
      </c>
      <c r="AZ78" s="66"/>
      <c r="BA78" s="66"/>
    </row>
    <row r="79" spans="1:53" x14ac:dyDescent="0.3">
      <c r="A79" s="73"/>
      <c r="B79" s="75"/>
      <c r="C79" s="66"/>
      <c r="D79" s="3" t="s">
        <v>3</v>
      </c>
      <c r="E79" s="3" t="s">
        <v>4</v>
      </c>
      <c r="F79" s="3" t="s">
        <v>5</v>
      </c>
      <c r="G79" s="3" t="s">
        <v>6</v>
      </c>
      <c r="H79" s="3" t="s">
        <v>3</v>
      </c>
      <c r="I79" s="3" t="s">
        <v>4</v>
      </c>
      <c r="J79" s="3" t="s">
        <v>5</v>
      </c>
      <c r="K79" s="3" t="s">
        <v>6</v>
      </c>
      <c r="L79" s="3" t="s">
        <v>3</v>
      </c>
      <c r="M79" s="3" t="s">
        <v>4</v>
      </c>
      <c r="N79" s="3" t="s">
        <v>5</v>
      </c>
      <c r="O79" s="3" t="s">
        <v>6</v>
      </c>
      <c r="P79" s="66"/>
      <c r="Q79" s="68"/>
      <c r="S79" s="6" t="s">
        <v>44</v>
      </c>
      <c r="T79" s="6">
        <v>3</v>
      </c>
      <c r="V79" s="3" t="s">
        <v>58</v>
      </c>
      <c r="W79" s="2">
        <f>SUM(D80:O80)</f>
        <v>847</v>
      </c>
      <c r="X79" s="2">
        <f>SUM(D81:O81)</f>
        <v>727</v>
      </c>
      <c r="Y79" s="2">
        <f>SUM(D82:O82)</f>
        <v>733</v>
      </c>
      <c r="Z79" s="2">
        <f>SUM(W79:Y79)</f>
        <v>2307</v>
      </c>
      <c r="AA79" s="53">
        <f>AVERAGE(W79:Y79)</f>
        <v>769</v>
      </c>
      <c r="AC79" s="3" t="s">
        <v>43</v>
      </c>
      <c r="AD79" s="2">
        <f>12-1</f>
        <v>11</v>
      </c>
      <c r="AE79" s="53">
        <f>T83</f>
        <v>1152.101851851854</v>
      </c>
      <c r="AF79" s="53">
        <f>AE79/AD79</f>
        <v>104.73653198653219</v>
      </c>
      <c r="AG79" s="53">
        <f>AF79/AF83</f>
        <v>0.55065819025891738</v>
      </c>
      <c r="AH79" s="53">
        <f>FINV(AH78,AD79,AD83)</f>
        <v>1.8991710184693407</v>
      </c>
      <c r="AI79" s="53">
        <f>FINV(AI78,AD79,AD83)</f>
        <v>2.4560580535880434</v>
      </c>
      <c r="AJ79" s="30" t="s">
        <v>95</v>
      </c>
      <c r="AK79" s="2"/>
      <c r="AM79" s="32" t="s">
        <v>16</v>
      </c>
      <c r="AN79" s="31">
        <v>69.916666666666671</v>
      </c>
      <c r="AO79" s="31" t="s">
        <v>110</v>
      </c>
      <c r="AP79" s="31">
        <f>AN79+AN69</f>
        <v>88.051881979467282</v>
      </c>
      <c r="AS79" s="3" t="s">
        <v>43</v>
      </c>
      <c r="AT79" s="2">
        <f>12-1</f>
        <v>11</v>
      </c>
      <c r="AU79" s="6">
        <f>SUMSQ(D89:O89)/(3*3)-AT88</f>
        <v>1152.101851851854</v>
      </c>
      <c r="AV79" s="53">
        <f>AU79/AT79</f>
        <v>104.73653198653219</v>
      </c>
      <c r="AW79" s="53">
        <f>AV79/AV84</f>
        <v>0.55065819025891738</v>
      </c>
      <c r="AX79" s="53">
        <f>FINV(AX78,AT79,AT84)</f>
        <v>1.8991710184693407</v>
      </c>
      <c r="AY79" s="53">
        <f>FINV(AY78,AT79,AT84)</f>
        <v>2.4560580535880434</v>
      </c>
      <c r="AZ79" s="2" t="str">
        <f>IF(AW79&gt;AY79,"**",IF(AW79&gt;AX79,"*","TN"))</f>
        <v>TN</v>
      </c>
      <c r="BA79" s="2" t="str">
        <f>IF(AZ79="TN","Tidak Nyata",IF(AZ79="*","Nyata",IF(AZ79="**","Sangat Nyata",0)))</f>
        <v>Tidak Nyata</v>
      </c>
    </row>
    <row r="80" spans="1:53" ht="15.5" x14ac:dyDescent="0.3">
      <c r="A80" s="73"/>
      <c r="B80" s="75"/>
      <c r="C80" s="2" t="s">
        <v>9</v>
      </c>
      <c r="D80" s="4">
        <v>70</v>
      </c>
      <c r="E80" s="4">
        <v>68</v>
      </c>
      <c r="F80" s="4">
        <v>86</v>
      </c>
      <c r="G80" s="4">
        <v>79</v>
      </c>
      <c r="H80" s="4">
        <v>41</v>
      </c>
      <c r="I80" s="4">
        <v>76</v>
      </c>
      <c r="J80" s="4">
        <v>82</v>
      </c>
      <c r="K80" s="4">
        <v>70</v>
      </c>
      <c r="L80" s="4">
        <v>65</v>
      </c>
      <c r="M80" s="4">
        <v>70</v>
      </c>
      <c r="N80" s="4">
        <v>61</v>
      </c>
      <c r="O80" s="4">
        <v>79</v>
      </c>
      <c r="P80" s="2">
        <f>SUM(D80:O80)</f>
        <v>847</v>
      </c>
      <c r="Q80" s="53">
        <f>AVERAGE(D80:O80)</f>
        <v>70.583333333333329</v>
      </c>
      <c r="S80" s="6" t="s">
        <v>45</v>
      </c>
      <c r="T80" s="6">
        <v>3</v>
      </c>
      <c r="V80" s="3" t="s">
        <v>59</v>
      </c>
      <c r="W80" s="2">
        <f>SUM(D83:O83)</f>
        <v>763</v>
      </c>
      <c r="X80" s="2">
        <f>SUM(D84:O84)</f>
        <v>648</v>
      </c>
      <c r="Y80" s="2">
        <f>SUM(D85:O85)</f>
        <v>633</v>
      </c>
      <c r="Z80" s="2">
        <f>SUM(W80:Y80)</f>
        <v>2044</v>
      </c>
      <c r="AA80" s="53">
        <f>AVERAGE(W80:Y80)</f>
        <v>681.33333333333337</v>
      </c>
      <c r="AC80" s="3" t="s">
        <v>45</v>
      </c>
      <c r="AD80" s="2">
        <f>3-1</f>
        <v>2</v>
      </c>
      <c r="AE80" s="53">
        <f>T84</f>
        <v>380.68518518516794</v>
      </c>
      <c r="AF80" s="53">
        <f>AE80/AD80</f>
        <v>190.34259259258397</v>
      </c>
      <c r="AG80" s="53">
        <f>AF80/AF83</f>
        <v>1.0007368544501782</v>
      </c>
      <c r="AH80" s="53">
        <f>FINV(AH78,AD80,AD83)</f>
        <v>3.1000686386371408</v>
      </c>
      <c r="AI80" s="53">
        <f>FINV(AI78,AD80,AD83)</f>
        <v>4.8547979993760721</v>
      </c>
      <c r="AJ80" s="30" t="s">
        <v>95</v>
      </c>
      <c r="AK80" s="2"/>
      <c r="AM80" s="32" t="s">
        <v>17</v>
      </c>
      <c r="AN80" s="31">
        <v>72.75</v>
      </c>
      <c r="AO80" s="31" t="s">
        <v>104</v>
      </c>
      <c r="AP80" s="31">
        <f>AN80+AN69</f>
        <v>90.885215312800611</v>
      </c>
      <c r="AS80" s="3" t="s">
        <v>98</v>
      </c>
      <c r="AT80" s="2">
        <f>3*3-1</f>
        <v>8</v>
      </c>
      <c r="AU80" s="53">
        <f>SUMSQ(P80:P88)/12-AT88</f>
        <v>10040.629629629606</v>
      </c>
      <c r="AV80" s="53">
        <f t="shared" ref="AV80:AV84" si="30">AU80/AT80</f>
        <v>1255.0787037037007</v>
      </c>
      <c r="AW80" s="53">
        <f>AV80/AV84</f>
        <v>6.5986466661208256</v>
      </c>
      <c r="AX80" s="53">
        <f>FINV(AX78,AT80,AT84)</f>
        <v>2.0454143150341193</v>
      </c>
      <c r="AY80" s="53">
        <f>FINV(AY78,AT80,AT84)</f>
        <v>2.720181875728696</v>
      </c>
      <c r="AZ80" s="2" t="str">
        <f>IF(AW80&gt;AY80,"**",IF(AW80&gt;AX80,"*","TN"))</f>
        <v>**</v>
      </c>
      <c r="BA80" s="2" t="str">
        <f t="shared" ref="BA80:BA83" si="31">IF(AZ80="TN","Tidak Nyata",IF(AZ80="*","Nyata",IF(AZ80="**","Sangat Nyata",0)))</f>
        <v>Sangat Nyata</v>
      </c>
    </row>
    <row r="81" spans="1:53" x14ac:dyDescent="0.3">
      <c r="A81" s="73"/>
      <c r="B81" s="75"/>
      <c r="C81" s="2" t="s">
        <v>10</v>
      </c>
      <c r="D81" s="50">
        <v>62</v>
      </c>
      <c r="E81" s="50">
        <v>61</v>
      </c>
      <c r="F81" s="50">
        <v>60</v>
      </c>
      <c r="G81" s="50">
        <v>62</v>
      </c>
      <c r="H81" s="50">
        <v>65</v>
      </c>
      <c r="I81" s="50">
        <v>59</v>
      </c>
      <c r="J81" s="50">
        <v>58</v>
      </c>
      <c r="K81" s="50">
        <v>58</v>
      </c>
      <c r="L81" s="50">
        <v>60</v>
      </c>
      <c r="M81" s="50">
        <v>61</v>
      </c>
      <c r="N81" s="50">
        <v>59</v>
      </c>
      <c r="O81" s="50">
        <v>62</v>
      </c>
      <c r="P81" s="2">
        <f t="shared" ref="P81:P88" si="32">SUM(D81:O81)</f>
        <v>727</v>
      </c>
      <c r="Q81" s="53">
        <f t="shared" ref="Q81:Q88" si="33">AVERAGE(D81:O81)</f>
        <v>60.583333333333336</v>
      </c>
      <c r="S81" s="6" t="s">
        <v>46</v>
      </c>
      <c r="T81" s="51">
        <f>(P89^2)/(12*3*3)</f>
        <v>471372.45370370371</v>
      </c>
      <c r="V81" s="3" t="s">
        <v>60</v>
      </c>
      <c r="W81" s="2">
        <f>SUM(D86:O86)</f>
        <v>862</v>
      </c>
      <c r="X81" s="2">
        <f>SUM(D87:O87)</f>
        <v>940</v>
      </c>
      <c r="Y81" s="2">
        <f>SUM(D88:O88)</f>
        <v>982</v>
      </c>
      <c r="Z81" s="2">
        <f>SUM(W81:Y81)</f>
        <v>2784</v>
      </c>
      <c r="AA81" s="53">
        <f>AVERAGE(W81:Y81)</f>
        <v>928</v>
      </c>
      <c r="AC81" s="3" t="s">
        <v>44</v>
      </c>
      <c r="AD81" s="2">
        <f>3-1</f>
        <v>2</v>
      </c>
      <c r="AE81" s="53">
        <f>T85</f>
        <v>7817.5740740740439</v>
      </c>
      <c r="AF81" s="53">
        <f>AE81/AD81</f>
        <v>3908.7870370370219</v>
      </c>
      <c r="AG81" s="53">
        <f>AF81/AF83</f>
        <v>20.550667041363322</v>
      </c>
      <c r="AH81" s="53">
        <f>FINV(AH78,AD81,AD83)</f>
        <v>3.1000686386371408</v>
      </c>
      <c r="AI81" s="53">
        <f>FINV(AI78,AD81,AD83)</f>
        <v>4.8547979993760721</v>
      </c>
      <c r="AJ81" s="30" t="s">
        <v>72</v>
      </c>
      <c r="AK81" s="2"/>
      <c r="AM81" s="43"/>
      <c r="AN81" s="43"/>
      <c r="AO81" s="43"/>
      <c r="AP81" s="43"/>
      <c r="AS81" s="3" t="s">
        <v>45</v>
      </c>
      <c r="AT81" s="2">
        <f>3-1</f>
        <v>2</v>
      </c>
      <c r="AU81" s="53">
        <f>SUMSQ(W82:Y82)/(3*12)-AT88</f>
        <v>380.68518518516794</v>
      </c>
      <c r="AV81" s="53">
        <f t="shared" si="30"/>
        <v>190.34259259258397</v>
      </c>
      <c r="AW81" s="53">
        <f>AV81/AV84</f>
        <v>1.0007368544501782</v>
      </c>
      <c r="AX81" s="53">
        <f>FINV(AX78,AT81,AT84)</f>
        <v>3.1000686386371408</v>
      </c>
      <c r="AY81" s="53">
        <f>FINV(AY78,AT81,AT84)</f>
        <v>4.8547979993760721</v>
      </c>
      <c r="AZ81" s="2" t="str">
        <f>IF(AW81&gt;AY81,"**",IF(AW81&gt;AX81,"*","TN"))</f>
        <v>TN</v>
      </c>
      <c r="BA81" s="2" t="str">
        <f t="shared" si="31"/>
        <v>Tidak Nyata</v>
      </c>
    </row>
    <row r="82" spans="1:53" x14ac:dyDescent="0.3">
      <c r="A82" s="73"/>
      <c r="B82" s="75"/>
      <c r="C82" s="2" t="s">
        <v>11</v>
      </c>
      <c r="D82" s="50">
        <v>60</v>
      </c>
      <c r="E82" s="50">
        <v>59</v>
      </c>
      <c r="F82" s="50">
        <v>61</v>
      </c>
      <c r="G82" s="50">
        <v>62</v>
      </c>
      <c r="H82" s="50">
        <v>58</v>
      </c>
      <c r="I82" s="50">
        <v>63</v>
      </c>
      <c r="J82" s="50">
        <v>61</v>
      </c>
      <c r="K82" s="50">
        <v>60</v>
      </c>
      <c r="L82" s="50">
        <v>64</v>
      </c>
      <c r="M82" s="50">
        <v>59</v>
      </c>
      <c r="N82" s="50">
        <v>61</v>
      </c>
      <c r="O82" s="50">
        <v>65</v>
      </c>
      <c r="P82" s="2">
        <f t="shared" si="32"/>
        <v>733</v>
      </c>
      <c r="Q82" s="53">
        <f t="shared" si="33"/>
        <v>61.083333333333336</v>
      </c>
      <c r="S82" s="6" t="s">
        <v>47</v>
      </c>
      <c r="T82" s="51">
        <f>SUMSQ(D80:O88)-T81</f>
        <v>27930.546296296292</v>
      </c>
      <c r="V82" s="3" t="s">
        <v>33</v>
      </c>
      <c r="W82" s="2">
        <f>SUM(W79:W81)</f>
        <v>2472</v>
      </c>
      <c r="X82" s="2">
        <f>SUM(X79:X81)</f>
        <v>2315</v>
      </c>
      <c r="Y82" s="2">
        <f>SUM(Y79:Y81)</f>
        <v>2348</v>
      </c>
      <c r="Z82" s="2">
        <f>SUM(W82:Y82)</f>
        <v>7135</v>
      </c>
      <c r="AA82" s="53">
        <f>AVERAGE(W82:Y82)</f>
        <v>2378.3333333333335</v>
      </c>
      <c r="AC82" s="3" t="s">
        <v>69</v>
      </c>
      <c r="AD82" s="2">
        <f>(3-1)*(3-1)</f>
        <v>4</v>
      </c>
      <c r="AE82" s="53">
        <f>T86</f>
        <v>1842.3703703703941</v>
      </c>
      <c r="AF82" s="53">
        <f>AE82/AD82</f>
        <v>460.59259259259852</v>
      </c>
      <c r="AG82" s="53">
        <f>AF82/AF83</f>
        <v>2.4215913843349015</v>
      </c>
      <c r="AH82" s="53">
        <f>FINV(AH78,AD82,AD83)</f>
        <v>2.4752774088696223</v>
      </c>
      <c r="AI82" s="53">
        <f>FINV(AI78,AD82,AD83)</f>
        <v>3.5400845421240663</v>
      </c>
      <c r="AJ82" s="30" t="s">
        <v>95</v>
      </c>
      <c r="AK82" s="2"/>
      <c r="AM82" s="79" t="s">
        <v>80</v>
      </c>
      <c r="AN82" s="79"/>
      <c r="AO82" s="43"/>
      <c r="AP82" s="43"/>
      <c r="AS82" s="3" t="s">
        <v>44</v>
      </c>
      <c r="AT82" s="2">
        <f>3-1</f>
        <v>2</v>
      </c>
      <c r="AU82" s="53">
        <f>SUMSQ(Z79:Z81)/(3*12)-AT88</f>
        <v>7817.5740740740439</v>
      </c>
      <c r="AV82" s="53">
        <f t="shared" si="30"/>
        <v>3908.7870370370219</v>
      </c>
      <c r="AW82" s="53">
        <f>AV82/AV84</f>
        <v>20.550667041363322</v>
      </c>
      <c r="AX82" s="53">
        <f>FINV(AX78,AT82,AT84)</f>
        <v>3.1000686386371408</v>
      </c>
      <c r="AY82" s="53">
        <f>FINV(AY78,AT82,AT84)</f>
        <v>4.8547979993760721</v>
      </c>
      <c r="AZ82" s="2" t="str">
        <f>IF(AW82&gt;AY82,"**",IF(AW82&gt;AX82,"*","TN"))</f>
        <v>**</v>
      </c>
      <c r="BA82" s="2" t="str">
        <f t="shared" si="31"/>
        <v>Sangat Nyata</v>
      </c>
    </row>
    <row r="83" spans="1:53" ht="15.5" x14ac:dyDescent="0.3">
      <c r="A83" s="73"/>
      <c r="B83" s="75"/>
      <c r="C83" s="2" t="s">
        <v>12</v>
      </c>
      <c r="D83" s="4">
        <v>65</v>
      </c>
      <c r="E83" s="4">
        <v>57</v>
      </c>
      <c r="F83" s="4">
        <v>51</v>
      </c>
      <c r="G83" s="4">
        <v>62</v>
      </c>
      <c r="H83" s="4">
        <v>101</v>
      </c>
      <c r="I83" s="4">
        <v>54</v>
      </c>
      <c r="J83" s="4">
        <v>64</v>
      </c>
      <c r="K83" s="4">
        <v>67</v>
      </c>
      <c r="L83" s="4">
        <v>46</v>
      </c>
      <c r="M83" s="4">
        <v>50</v>
      </c>
      <c r="N83" s="4">
        <v>71</v>
      </c>
      <c r="O83" s="4">
        <v>75</v>
      </c>
      <c r="P83" s="2">
        <f t="shared" si="32"/>
        <v>763</v>
      </c>
      <c r="Q83" s="53">
        <f t="shared" si="33"/>
        <v>63.583333333333336</v>
      </c>
      <c r="S83" s="6" t="s">
        <v>48</v>
      </c>
      <c r="T83" s="51">
        <f>(SUMSQ(D89:O89)/(3*3))-T81</f>
        <v>1152.101851851854</v>
      </c>
      <c r="V83" s="3" t="s">
        <v>32</v>
      </c>
      <c r="W83" s="53">
        <f>AVERAGE(W79:W81)</f>
        <v>824</v>
      </c>
      <c r="X83" s="53">
        <f>AVERAGE(X79:X81)</f>
        <v>771.66666666666663</v>
      </c>
      <c r="Y83" s="53">
        <f>AVERAGE(Y79:Y81)</f>
        <v>782.66666666666663</v>
      </c>
      <c r="Z83" s="2"/>
      <c r="AA83" s="53"/>
      <c r="AC83" s="3" t="s">
        <v>70</v>
      </c>
      <c r="AD83" s="2">
        <f>((3*3)-1)*(12-1)</f>
        <v>88</v>
      </c>
      <c r="AE83" s="53">
        <f>T87</f>
        <v>16737.814814814832</v>
      </c>
      <c r="AF83" s="53">
        <f>AE83/AD83</f>
        <v>190.20244107744128</v>
      </c>
      <c r="AG83" s="53"/>
      <c r="AH83" s="53"/>
      <c r="AI83" s="53"/>
      <c r="AJ83" s="2"/>
      <c r="AK83" s="2"/>
      <c r="AM83" s="53" t="s">
        <v>79</v>
      </c>
      <c r="AN83" s="53">
        <f>SQRT(AF83/12)</f>
        <v>3.9812313953248317</v>
      </c>
      <c r="AO83" s="51"/>
      <c r="AP83" s="55" t="s">
        <v>87</v>
      </c>
      <c r="AS83" s="3" t="s">
        <v>69</v>
      </c>
      <c r="AT83" s="2">
        <f>AT81*AT82</f>
        <v>4</v>
      </c>
      <c r="AU83" s="53">
        <f>AU80-AU81-AU82</f>
        <v>1842.3703703703941</v>
      </c>
      <c r="AV83" s="53">
        <f t="shared" si="30"/>
        <v>460.59259259259852</v>
      </c>
      <c r="AW83" s="53">
        <f>AV83/AV84</f>
        <v>2.4215913843349015</v>
      </c>
      <c r="AX83" s="53">
        <f>FINV(AX78,AT83,AT84)</f>
        <v>2.4752774088696223</v>
      </c>
      <c r="AY83" s="53">
        <f>FINV(AY78,AT83,AT84)</f>
        <v>3.5400845421240663</v>
      </c>
      <c r="AZ83" s="2" t="str">
        <f>IF(AW83&gt;AY83,"**",IF(AW83&gt;AX83,"*","TN"))</f>
        <v>TN</v>
      </c>
      <c r="BA83" s="2" t="str">
        <f t="shared" si="31"/>
        <v>Tidak Nyata</v>
      </c>
    </row>
    <row r="84" spans="1:53" ht="15.5" x14ac:dyDescent="0.3">
      <c r="A84" s="73"/>
      <c r="B84" s="75"/>
      <c r="C84" s="2" t="s">
        <v>13</v>
      </c>
      <c r="D84" s="4">
        <v>74</v>
      </c>
      <c r="E84" s="4">
        <v>57</v>
      </c>
      <c r="F84" s="4">
        <v>51</v>
      </c>
      <c r="G84" s="4">
        <v>62</v>
      </c>
      <c r="H84" s="4">
        <v>56</v>
      </c>
      <c r="I84" s="4">
        <v>46</v>
      </c>
      <c r="J84" s="4">
        <v>62</v>
      </c>
      <c r="K84" s="4">
        <v>33</v>
      </c>
      <c r="L84" s="4">
        <v>49</v>
      </c>
      <c r="M84" s="4">
        <v>46</v>
      </c>
      <c r="N84" s="4">
        <v>48</v>
      </c>
      <c r="O84" s="4">
        <v>64</v>
      </c>
      <c r="P84" s="2">
        <f t="shared" si="32"/>
        <v>648</v>
      </c>
      <c r="Q84" s="53">
        <f t="shared" si="33"/>
        <v>54</v>
      </c>
      <c r="S84" s="6" t="s">
        <v>50</v>
      </c>
      <c r="T84" s="51">
        <f>(SUMSQ(W82:Y82)/(12*3))-T81</f>
        <v>380.68518518516794</v>
      </c>
      <c r="AA84" s="51"/>
      <c r="AC84" s="3" t="s">
        <v>33</v>
      </c>
      <c r="AD84" s="2">
        <f>(3*3*12)-1</f>
        <v>107</v>
      </c>
      <c r="AE84" s="53">
        <f>T82</f>
        <v>27930.546296296292</v>
      </c>
      <c r="AF84" s="53"/>
      <c r="AG84" s="53"/>
      <c r="AH84" s="53"/>
      <c r="AI84" s="53"/>
      <c r="AJ84" s="2"/>
      <c r="AK84" s="2"/>
      <c r="AM84" s="53" t="s">
        <v>75</v>
      </c>
      <c r="AN84" s="53">
        <v>4.46</v>
      </c>
      <c r="AO84" s="51"/>
      <c r="AP84" s="51"/>
      <c r="AS84" s="3" t="s">
        <v>70</v>
      </c>
      <c r="AT84" s="2">
        <f>AT85-AT79-AT80</f>
        <v>88</v>
      </c>
      <c r="AU84" s="53">
        <f>AU85-AU79-AU80</f>
        <v>16737.814814814832</v>
      </c>
      <c r="AV84" s="53">
        <f t="shared" si="30"/>
        <v>190.20244107744128</v>
      </c>
      <c r="AW84" s="53"/>
      <c r="AX84" s="53"/>
      <c r="AY84" s="53"/>
      <c r="AZ84" s="2"/>
      <c r="BA84" s="2"/>
    </row>
    <row r="85" spans="1:53" ht="15.5" x14ac:dyDescent="0.3">
      <c r="A85" s="73"/>
      <c r="B85" s="75"/>
      <c r="C85" s="2" t="s">
        <v>14</v>
      </c>
      <c r="D85" s="4">
        <v>58</v>
      </c>
      <c r="E85" s="4">
        <v>55</v>
      </c>
      <c r="F85" s="4">
        <v>40</v>
      </c>
      <c r="G85" s="4">
        <v>52</v>
      </c>
      <c r="H85" s="4">
        <v>82</v>
      </c>
      <c r="I85" s="4">
        <v>50</v>
      </c>
      <c r="J85" s="4">
        <v>55</v>
      </c>
      <c r="K85" s="4">
        <v>56</v>
      </c>
      <c r="L85" s="4">
        <v>40</v>
      </c>
      <c r="M85" s="4">
        <v>48</v>
      </c>
      <c r="N85" s="4">
        <v>50</v>
      </c>
      <c r="O85" s="4">
        <v>47</v>
      </c>
      <c r="P85" s="2">
        <f t="shared" si="32"/>
        <v>633</v>
      </c>
      <c r="Q85" s="53">
        <f t="shared" si="33"/>
        <v>52.75</v>
      </c>
      <c r="S85" s="6" t="s">
        <v>49</v>
      </c>
      <c r="T85" s="51">
        <f>(SUMSQ(Z79:Z81)/(12*3))-T81</f>
        <v>7817.5740740740439</v>
      </c>
      <c r="AA85" s="51"/>
      <c r="AE85" s="51"/>
      <c r="AF85" s="51"/>
      <c r="AG85" s="51"/>
      <c r="AH85" s="51"/>
      <c r="AI85" s="51"/>
      <c r="AM85" s="53" t="s">
        <v>76</v>
      </c>
      <c r="AN85" s="54">
        <f>AN84*AN83</f>
        <v>17.756292023148749</v>
      </c>
      <c r="AO85" s="51"/>
      <c r="AP85" s="51"/>
      <c r="AS85" s="3" t="s">
        <v>33</v>
      </c>
      <c r="AT85" s="2">
        <f>(3*3*12)-1</f>
        <v>107</v>
      </c>
      <c r="AU85" s="53">
        <f>SUMSQ(D80:O88)-AT88</f>
        <v>27930.546296296292</v>
      </c>
      <c r="AV85" s="53"/>
      <c r="AW85" s="53"/>
      <c r="AX85" s="53"/>
      <c r="AY85" s="53"/>
      <c r="AZ85" s="2"/>
      <c r="BA85" s="2"/>
    </row>
    <row r="86" spans="1:53" ht="15.5" x14ac:dyDescent="0.3">
      <c r="A86" s="73"/>
      <c r="B86" s="75"/>
      <c r="C86" s="2" t="s">
        <v>15</v>
      </c>
      <c r="D86" s="4">
        <v>70</v>
      </c>
      <c r="E86" s="4">
        <v>86</v>
      </c>
      <c r="F86" s="4">
        <v>85</v>
      </c>
      <c r="G86" s="4">
        <v>78</v>
      </c>
      <c r="H86" s="4">
        <v>49</v>
      </c>
      <c r="I86" s="4">
        <v>89</v>
      </c>
      <c r="J86" s="4">
        <v>79</v>
      </c>
      <c r="K86" s="4">
        <v>82</v>
      </c>
      <c r="L86" s="4">
        <v>65</v>
      </c>
      <c r="M86" s="4">
        <v>62</v>
      </c>
      <c r="N86" s="4">
        <v>62</v>
      </c>
      <c r="O86" s="4">
        <v>55</v>
      </c>
      <c r="P86" s="2">
        <f t="shared" si="32"/>
        <v>862</v>
      </c>
      <c r="Q86" s="53">
        <f t="shared" si="33"/>
        <v>71.833333333333329</v>
      </c>
      <c r="S86" s="6" t="s">
        <v>51</v>
      </c>
      <c r="T86" s="51">
        <f>(SUMSQ(W79:Y81)/(12))-T81-T84-T85</f>
        <v>1842.3703703703941</v>
      </c>
      <c r="AA86" s="51"/>
      <c r="AE86" s="51"/>
      <c r="AF86" s="51"/>
      <c r="AG86" s="51"/>
      <c r="AH86" s="51"/>
      <c r="AI86" s="51"/>
      <c r="AM86" s="51"/>
      <c r="AN86" s="51"/>
      <c r="AO86" s="51"/>
      <c r="AP86" s="51"/>
    </row>
    <row r="87" spans="1:53" ht="15.5" x14ac:dyDescent="0.3">
      <c r="A87" s="73"/>
      <c r="B87" s="75"/>
      <c r="C87" s="2" t="s">
        <v>16</v>
      </c>
      <c r="D87" s="4">
        <v>97</v>
      </c>
      <c r="E87" s="4">
        <v>95</v>
      </c>
      <c r="F87" s="4">
        <v>82</v>
      </c>
      <c r="G87" s="4">
        <v>59</v>
      </c>
      <c r="H87" s="4">
        <v>59</v>
      </c>
      <c r="I87" s="4">
        <v>49</v>
      </c>
      <c r="J87" s="4">
        <v>77</v>
      </c>
      <c r="K87" s="4">
        <v>93</v>
      </c>
      <c r="L87" s="4">
        <v>94</v>
      </c>
      <c r="M87" s="4">
        <v>64</v>
      </c>
      <c r="N87" s="4">
        <v>112</v>
      </c>
      <c r="O87" s="4">
        <v>59</v>
      </c>
      <c r="P87" s="2">
        <f t="shared" si="32"/>
        <v>940</v>
      </c>
      <c r="Q87" s="53">
        <f t="shared" si="33"/>
        <v>78.333333333333329</v>
      </c>
      <c r="S87" s="6" t="s">
        <v>52</v>
      </c>
      <c r="T87" s="51">
        <f>T82-T83-T84-T85-T86</f>
        <v>16737.814814814832</v>
      </c>
      <c r="AA87" s="51"/>
      <c r="AE87" s="51"/>
      <c r="AF87" s="51"/>
      <c r="AG87" s="51"/>
      <c r="AH87" s="51"/>
      <c r="AI87" s="51"/>
      <c r="AM87" s="53" t="s">
        <v>81</v>
      </c>
      <c r="AN87" s="53" t="s">
        <v>32</v>
      </c>
      <c r="AO87" s="53" t="s">
        <v>67</v>
      </c>
      <c r="AP87" s="53" t="s">
        <v>77</v>
      </c>
    </row>
    <row r="88" spans="1:53" ht="15.5" x14ac:dyDescent="0.3">
      <c r="A88" s="73"/>
      <c r="B88" s="75"/>
      <c r="C88" s="2" t="s">
        <v>17</v>
      </c>
      <c r="D88" s="4">
        <v>59</v>
      </c>
      <c r="E88" s="4">
        <v>89</v>
      </c>
      <c r="F88" s="4">
        <v>121</v>
      </c>
      <c r="G88" s="4">
        <v>98</v>
      </c>
      <c r="H88" s="4">
        <v>101</v>
      </c>
      <c r="I88" s="4">
        <v>59</v>
      </c>
      <c r="J88" s="4">
        <v>61</v>
      </c>
      <c r="K88" s="4">
        <v>68</v>
      </c>
      <c r="L88" s="4">
        <v>103</v>
      </c>
      <c r="M88" s="4">
        <v>83</v>
      </c>
      <c r="N88" s="4">
        <v>83</v>
      </c>
      <c r="O88" s="4">
        <v>57</v>
      </c>
      <c r="P88" s="2">
        <f t="shared" si="32"/>
        <v>982</v>
      </c>
      <c r="Q88" s="53">
        <f t="shared" si="33"/>
        <v>81.833333333333329</v>
      </c>
      <c r="AA88" s="51"/>
      <c r="AE88" s="51"/>
      <c r="AF88" s="51"/>
      <c r="AG88" s="51"/>
      <c r="AH88" s="51"/>
      <c r="AI88" s="51"/>
      <c r="AM88" s="53" t="s">
        <v>14</v>
      </c>
      <c r="AN88" s="53">
        <v>52.75</v>
      </c>
      <c r="AO88" s="53" t="s">
        <v>93</v>
      </c>
      <c r="AP88" s="53">
        <f>AN88+AN85</f>
        <v>70.506292023148745</v>
      </c>
      <c r="AS88" s="2" t="s">
        <v>46</v>
      </c>
      <c r="AT88" s="53">
        <f>P89^2/(3*3*12)</f>
        <v>471372.45370370371</v>
      </c>
    </row>
    <row r="89" spans="1:53" x14ac:dyDescent="0.3">
      <c r="A89" s="73"/>
      <c r="B89" s="75"/>
      <c r="C89" s="2" t="s">
        <v>33</v>
      </c>
      <c r="D89" s="2">
        <f>SUM(D80:D88)</f>
        <v>615</v>
      </c>
      <c r="E89" s="2">
        <f t="shared" ref="E89:O89" si="34">SUM(E80:E88)</f>
        <v>627</v>
      </c>
      <c r="F89" s="2">
        <f t="shared" si="34"/>
        <v>637</v>
      </c>
      <c r="G89" s="2">
        <f t="shared" si="34"/>
        <v>614</v>
      </c>
      <c r="H89" s="2">
        <f t="shared" si="34"/>
        <v>612</v>
      </c>
      <c r="I89" s="2">
        <f t="shared" si="34"/>
        <v>545</v>
      </c>
      <c r="J89" s="2">
        <f t="shared" si="34"/>
        <v>599</v>
      </c>
      <c r="K89" s="2">
        <f t="shared" si="34"/>
        <v>587</v>
      </c>
      <c r="L89" s="2">
        <f t="shared" si="34"/>
        <v>586</v>
      </c>
      <c r="M89" s="2">
        <f t="shared" si="34"/>
        <v>543</v>
      </c>
      <c r="N89" s="2">
        <f t="shared" si="34"/>
        <v>607</v>
      </c>
      <c r="O89" s="2">
        <f t="shared" si="34"/>
        <v>563</v>
      </c>
      <c r="P89" s="2">
        <f>SUM(D89:O89)</f>
        <v>7135</v>
      </c>
      <c r="Q89" s="53"/>
      <c r="AA89" s="51"/>
      <c r="AE89" s="51"/>
      <c r="AF89" s="51"/>
      <c r="AG89" s="51"/>
      <c r="AH89" s="51"/>
      <c r="AI89" s="51"/>
      <c r="AM89" s="53" t="s">
        <v>13</v>
      </c>
      <c r="AN89" s="53">
        <v>54</v>
      </c>
      <c r="AO89" s="53" t="s">
        <v>99</v>
      </c>
      <c r="AP89" s="53">
        <f>AN89+AN85</f>
        <v>71.756292023148745</v>
      </c>
    </row>
    <row r="90" spans="1:53" x14ac:dyDescent="0.3">
      <c r="A90" s="66"/>
      <c r="B90" s="76"/>
      <c r="C90" s="2" t="s">
        <v>32</v>
      </c>
      <c r="D90" s="53">
        <f>AVERAGE(D80:D88)</f>
        <v>68.333333333333329</v>
      </c>
      <c r="E90" s="53">
        <f t="shared" ref="E90:O90" si="35">AVERAGE(E80:E88)</f>
        <v>69.666666666666671</v>
      </c>
      <c r="F90" s="53">
        <f t="shared" si="35"/>
        <v>70.777777777777771</v>
      </c>
      <c r="G90" s="53">
        <f t="shared" si="35"/>
        <v>68.222222222222229</v>
      </c>
      <c r="H90" s="53">
        <f t="shared" si="35"/>
        <v>68</v>
      </c>
      <c r="I90" s="53">
        <f t="shared" si="35"/>
        <v>60.555555555555557</v>
      </c>
      <c r="J90" s="53">
        <f t="shared" si="35"/>
        <v>66.555555555555557</v>
      </c>
      <c r="K90" s="53">
        <f t="shared" si="35"/>
        <v>65.222222222222229</v>
      </c>
      <c r="L90" s="53">
        <f t="shared" si="35"/>
        <v>65.111111111111114</v>
      </c>
      <c r="M90" s="53">
        <f t="shared" si="35"/>
        <v>60.333333333333336</v>
      </c>
      <c r="N90" s="53">
        <f t="shared" si="35"/>
        <v>67.444444444444443</v>
      </c>
      <c r="O90" s="53">
        <f t="shared" si="35"/>
        <v>62.555555555555557</v>
      </c>
      <c r="P90" s="2"/>
      <c r="Q90" s="53"/>
      <c r="AA90" s="51"/>
      <c r="AE90" s="51"/>
      <c r="AF90" s="51"/>
      <c r="AG90" s="51"/>
      <c r="AH90" s="51"/>
      <c r="AI90" s="51"/>
      <c r="AM90" s="53" t="s">
        <v>10</v>
      </c>
      <c r="AN90" s="53">
        <v>60.583333333333336</v>
      </c>
      <c r="AO90" s="53" t="s">
        <v>100</v>
      </c>
      <c r="AP90" s="53">
        <f>AN90+AN85</f>
        <v>78.339625356482088</v>
      </c>
    </row>
    <row r="91" spans="1:53" x14ac:dyDescent="0.3">
      <c r="Q91" s="51"/>
      <c r="AA91" s="51"/>
      <c r="AE91" s="51"/>
      <c r="AF91" s="51"/>
      <c r="AG91" s="51"/>
      <c r="AH91" s="51"/>
      <c r="AI91" s="51"/>
      <c r="AM91" s="53" t="s">
        <v>11</v>
      </c>
      <c r="AN91" s="53">
        <v>61.083333333333336</v>
      </c>
      <c r="AO91" s="53" t="s">
        <v>100</v>
      </c>
      <c r="AP91" s="53">
        <f>AN91+AN85</f>
        <v>78.839625356482088</v>
      </c>
      <c r="AS91" s="6" t="s">
        <v>97</v>
      </c>
    </row>
    <row r="92" spans="1:53" x14ac:dyDescent="0.3">
      <c r="A92" s="3" t="s">
        <v>18</v>
      </c>
      <c r="B92" s="3" t="s">
        <v>20</v>
      </c>
      <c r="C92" s="65" t="s">
        <v>0</v>
      </c>
      <c r="D92" s="70" t="s">
        <v>1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65" t="s">
        <v>33</v>
      </c>
      <c r="Q92" s="67" t="s">
        <v>32</v>
      </c>
      <c r="V92" s="65" t="s">
        <v>53</v>
      </c>
      <c r="W92" s="70" t="s">
        <v>54</v>
      </c>
      <c r="X92" s="71"/>
      <c r="Y92" s="72"/>
      <c r="Z92" s="65" t="s">
        <v>33</v>
      </c>
      <c r="AA92" s="67" t="s">
        <v>32</v>
      </c>
      <c r="AC92" s="65" t="s">
        <v>61</v>
      </c>
      <c r="AD92" s="65" t="s">
        <v>62</v>
      </c>
      <c r="AE92" s="67" t="s">
        <v>63</v>
      </c>
      <c r="AF92" s="67" t="s">
        <v>64</v>
      </c>
      <c r="AG92" s="67" t="s">
        <v>65</v>
      </c>
      <c r="AH92" s="64" t="s">
        <v>66</v>
      </c>
      <c r="AI92" s="64"/>
      <c r="AJ92" s="65" t="s">
        <v>67</v>
      </c>
      <c r="AK92" s="65" t="s">
        <v>68</v>
      </c>
      <c r="AM92" s="53" t="s">
        <v>12</v>
      </c>
      <c r="AN92" s="53">
        <v>63.583333333333336</v>
      </c>
      <c r="AO92" s="53" t="s">
        <v>100</v>
      </c>
      <c r="AP92" s="53">
        <f>AN92+AN85</f>
        <v>81.339625356482088</v>
      </c>
      <c r="AS92" s="65" t="s">
        <v>61</v>
      </c>
      <c r="AT92" s="65" t="s">
        <v>62</v>
      </c>
      <c r="AU92" s="65" t="s">
        <v>63</v>
      </c>
      <c r="AV92" s="65" t="s">
        <v>64</v>
      </c>
      <c r="AW92" s="65" t="s">
        <v>65</v>
      </c>
      <c r="AX92" s="69" t="s">
        <v>66</v>
      </c>
      <c r="AY92" s="69"/>
      <c r="AZ92" s="65" t="s">
        <v>67</v>
      </c>
      <c r="BA92" s="65" t="s">
        <v>68</v>
      </c>
    </row>
    <row r="93" spans="1:53" x14ac:dyDescent="0.3">
      <c r="A93" s="65">
        <v>7</v>
      </c>
      <c r="B93" s="74" t="s">
        <v>40</v>
      </c>
      <c r="C93" s="73"/>
      <c r="D93" s="70" t="s">
        <v>2</v>
      </c>
      <c r="E93" s="71"/>
      <c r="F93" s="71"/>
      <c r="G93" s="72"/>
      <c r="H93" s="70" t="s">
        <v>7</v>
      </c>
      <c r="I93" s="71"/>
      <c r="J93" s="71"/>
      <c r="K93" s="72"/>
      <c r="L93" s="70" t="s">
        <v>8</v>
      </c>
      <c r="M93" s="71"/>
      <c r="N93" s="71"/>
      <c r="O93" s="72"/>
      <c r="P93" s="73"/>
      <c r="Q93" s="77"/>
      <c r="S93" s="6" t="s">
        <v>71</v>
      </c>
      <c r="T93" s="6">
        <v>12</v>
      </c>
      <c r="V93" s="66"/>
      <c r="W93" s="3" t="s">
        <v>55</v>
      </c>
      <c r="X93" s="3" t="s">
        <v>56</v>
      </c>
      <c r="Y93" s="3" t="s">
        <v>57</v>
      </c>
      <c r="Z93" s="66"/>
      <c r="AA93" s="68"/>
      <c r="AC93" s="66"/>
      <c r="AD93" s="66"/>
      <c r="AE93" s="68"/>
      <c r="AF93" s="68"/>
      <c r="AG93" s="68"/>
      <c r="AH93" s="59">
        <v>0.05</v>
      </c>
      <c r="AI93" s="59">
        <v>0.01</v>
      </c>
      <c r="AJ93" s="66"/>
      <c r="AK93" s="66"/>
      <c r="AM93" s="53" t="s">
        <v>9</v>
      </c>
      <c r="AN93" s="53">
        <v>70.583333333333329</v>
      </c>
      <c r="AO93" s="53" t="s">
        <v>105</v>
      </c>
      <c r="AP93" s="53">
        <f>AN93+AN85</f>
        <v>88.339625356482074</v>
      </c>
      <c r="AS93" s="66"/>
      <c r="AT93" s="66"/>
      <c r="AU93" s="66"/>
      <c r="AV93" s="66"/>
      <c r="AW93" s="66"/>
      <c r="AX93" s="42">
        <v>0.05</v>
      </c>
      <c r="AY93" s="42">
        <v>0.01</v>
      </c>
      <c r="AZ93" s="66"/>
      <c r="BA93" s="66"/>
    </row>
    <row r="94" spans="1:53" x14ac:dyDescent="0.3">
      <c r="A94" s="73"/>
      <c r="B94" s="75"/>
      <c r="C94" s="66"/>
      <c r="D94" s="3" t="s">
        <v>3</v>
      </c>
      <c r="E94" s="3" t="s">
        <v>4</v>
      </c>
      <c r="F94" s="3" t="s">
        <v>5</v>
      </c>
      <c r="G94" s="3" t="s">
        <v>6</v>
      </c>
      <c r="H94" s="3" t="s">
        <v>3</v>
      </c>
      <c r="I94" s="3" t="s">
        <v>4</v>
      </c>
      <c r="J94" s="3" t="s">
        <v>5</v>
      </c>
      <c r="K94" s="3" t="s">
        <v>6</v>
      </c>
      <c r="L94" s="3" t="s">
        <v>3</v>
      </c>
      <c r="M94" s="3" t="s">
        <v>4</v>
      </c>
      <c r="N94" s="3" t="s">
        <v>5</v>
      </c>
      <c r="O94" s="3" t="s">
        <v>6</v>
      </c>
      <c r="P94" s="66"/>
      <c r="Q94" s="68"/>
      <c r="S94" s="6" t="s">
        <v>44</v>
      </c>
      <c r="T94" s="6">
        <v>3</v>
      </c>
      <c r="V94" s="3" t="s">
        <v>58</v>
      </c>
      <c r="W94" s="2">
        <f>SUM(D95:O95)</f>
        <v>863</v>
      </c>
      <c r="X94" s="2">
        <f>SUM(D96:O96)</f>
        <v>804</v>
      </c>
      <c r="Y94" s="2">
        <f>SUM(D97:O97)</f>
        <v>818</v>
      </c>
      <c r="Z94" s="2">
        <f>SUM(W94:Y94)</f>
        <v>2485</v>
      </c>
      <c r="AA94" s="53">
        <f>AVERAGE(W94:Y94)</f>
        <v>828.33333333333337</v>
      </c>
      <c r="AC94" s="3" t="s">
        <v>43</v>
      </c>
      <c r="AD94" s="2">
        <f>12-1</f>
        <v>11</v>
      </c>
      <c r="AE94" s="53">
        <f>T98</f>
        <v>1127.296296296292</v>
      </c>
      <c r="AF94" s="53">
        <f>AE94/AD94</f>
        <v>102.48148148148108</v>
      </c>
      <c r="AG94" s="53">
        <f>AF94/AF98</f>
        <v>0.62064236903211067</v>
      </c>
      <c r="AH94" s="53">
        <f>FINV(AH93,AD94,AD98)</f>
        <v>1.8991710184693407</v>
      </c>
      <c r="AI94" s="53">
        <f>FINV(AI93,AD94,AD98)</f>
        <v>2.4560580535880434</v>
      </c>
      <c r="AJ94" s="30" t="s">
        <v>95</v>
      </c>
      <c r="AK94" s="2"/>
      <c r="AM94" s="53" t="s">
        <v>15</v>
      </c>
      <c r="AN94" s="53">
        <v>71.833333333333329</v>
      </c>
      <c r="AO94" s="53" t="s">
        <v>106</v>
      </c>
      <c r="AP94" s="53">
        <f>AN94+AN85</f>
        <v>89.589625356482074</v>
      </c>
      <c r="AS94" s="3" t="s">
        <v>43</v>
      </c>
      <c r="AT94" s="2">
        <f>12-1</f>
        <v>11</v>
      </c>
      <c r="AU94" s="6">
        <f>SUMSQ(D104:O104)/(3*3)-AT103</f>
        <v>1127.296296296292</v>
      </c>
      <c r="AV94" s="53">
        <f>AU94/AT94</f>
        <v>102.48148148148108</v>
      </c>
      <c r="AW94" s="53">
        <f>AV94/AV99</f>
        <v>0.62064236903211067</v>
      </c>
      <c r="AX94" s="53">
        <f>FINV(AX93,AT94,AT99)</f>
        <v>1.8991710184693407</v>
      </c>
      <c r="AY94" s="53">
        <f>FINV(AY93,AT94,AT99)</f>
        <v>2.4560580535880434</v>
      </c>
      <c r="AZ94" s="2" t="str">
        <f>IF(AW94&gt;AY94,"**",IF(AW94&gt;AX94,"*","TN"))</f>
        <v>TN</v>
      </c>
      <c r="BA94" s="2" t="str">
        <f>IF(AZ94="TN","Tidak Nyata",IF(AZ94="*","Nyata",IF(AZ94="**","Sangat Nyata",0)))</f>
        <v>Tidak Nyata</v>
      </c>
    </row>
    <row r="95" spans="1:53" ht="15.5" x14ac:dyDescent="0.3">
      <c r="A95" s="73"/>
      <c r="B95" s="75"/>
      <c r="C95" s="2" t="s">
        <v>9</v>
      </c>
      <c r="D95" s="4">
        <v>65</v>
      </c>
      <c r="E95" s="4">
        <v>70</v>
      </c>
      <c r="F95" s="4">
        <v>88</v>
      </c>
      <c r="G95" s="4">
        <v>81</v>
      </c>
      <c r="H95" s="4">
        <v>45</v>
      </c>
      <c r="I95" s="4">
        <v>74</v>
      </c>
      <c r="J95" s="4">
        <v>80</v>
      </c>
      <c r="K95" s="4">
        <v>73</v>
      </c>
      <c r="L95" s="4">
        <v>73</v>
      </c>
      <c r="M95" s="4">
        <v>70</v>
      </c>
      <c r="N95" s="4">
        <v>67</v>
      </c>
      <c r="O95" s="4">
        <v>77</v>
      </c>
      <c r="P95" s="2">
        <f>SUM(D95:O95)</f>
        <v>863</v>
      </c>
      <c r="Q95" s="53">
        <f>AVERAGE(D95:O95)</f>
        <v>71.916666666666671</v>
      </c>
      <c r="S95" s="6" t="s">
        <v>45</v>
      </c>
      <c r="T95" s="6">
        <v>3</v>
      </c>
      <c r="V95" s="3" t="s">
        <v>59</v>
      </c>
      <c r="W95" s="2">
        <f>SUM(D98:O98)</f>
        <v>825</v>
      </c>
      <c r="X95" s="2">
        <f>SUM(D99:O99)</f>
        <v>712</v>
      </c>
      <c r="Y95" s="2">
        <f>SUM(D100:O100)</f>
        <v>684</v>
      </c>
      <c r="Z95" s="2">
        <f>SUM(W95:Y95)</f>
        <v>2221</v>
      </c>
      <c r="AA95" s="53">
        <f>AVERAGE(W95:Y95)</f>
        <v>740.33333333333337</v>
      </c>
      <c r="AC95" s="3" t="s">
        <v>45</v>
      </c>
      <c r="AD95" s="2">
        <f>3-1</f>
        <v>2</v>
      </c>
      <c r="AE95" s="53">
        <f>T99</f>
        <v>288.01851851854008</v>
      </c>
      <c r="AF95" s="53">
        <f>AE95/AD95</f>
        <v>144.00925925927004</v>
      </c>
      <c r="AG95" s="53">
        <f>AF95/AF98</f>
        <v>0.87214047393902949</v>
      </c>
      <c r="AH95" s="53">
        <f>FINV(AH93,AD95,AD98)</f>
        <v>3.1000686386371408</v>
      </c>
      <c r="AI95" s="53">
        <f>FINV(AI93,AD95,AD98)</f>
        <v>4.8547979993760721</v>
      </c>
      <c r="AJ95" s="30" t="s">
        <v>95</v>
      </c>
      <c r="AK95" s="2"/>
      <c r="AM95" s="53" t="s">
        <v>16</v>
      </c>
      <c r="AN95" s="53">
        <v>78.333333333333329</v>
      </c>
      <c r="AO95" s="53" t="s">
        <v>106</v>
      </c>
      <c r="AP95" s="53">
        <f>AN95+AN85</f>
        <v>96.089625356482074</v>
      </c>
      <c r="AS95" s="3" t="s">
        <v>98</v>
      </c>
      <c r="AT95" s="2">
        <f>3*3-1</f>
        <v>8</v>
      </c>
      <c r="AU95" s="53">
        <f>SUMSQ(P95:P103)/12-AT103</f>
        <v>11081.740740740788</v>
      </c>
      <c r="AV95" s="53">
        <f t="shared" ref="AV95:AV99" si="36">AU95/AT95</f>
        <v>1385.2175925925985</v>
      </c>
      <c r="AW95" s="53">
        <f>AV95/AV99</f>
        <v>8.3890739659826643</v>
      </c>
      <c r="AX95" s="53">
        <f>FINV(AX93,AT95,AT99)</f>
        <v>2.0454143150341193</v>
      </c>
      <c r="AY95" s="53">
        <f>FINV(AY93,AT95,AT99)</f>
        <v>2.720181875728696</v>
      </c>
      <c r="AZ95" s="2" t="str">
        <f>IF(AW95&gt;AY95,"**",IF(AW95&gt;AX95,"*","TN"))</f>
        <v>**</v>
      </c>
      <c r="BA95" s="2" t="str">
        <f t="shared" ref="BA95:BA98" si="37">IF(AZ95="TN","Tidak Nyata",IF(AZ95="*","Nyata",IF(AZ95="**","Sangat Nyata",0)))</f>
        <v>Sangat Nyata</v>
      </c>
    </row>
    <row r="96" spans="1:53" x14ac:dyDescent="0.3">
      <c r="A96" s="73"/>
      <c r="B96" s="75"/>
      <c r="C96" s="2" t="s">
        <v>10</v>
      </c>
      <c r="D96" s="50">
        <v>65</v>
      </c>
      <c r="E96" s="50">
        <v>64</v>
      </c>
      <c r="F96" s="50">
        <v>67</v>
      </c>
      <c r="G96" s="50">
        <v>68</v>
      </c>
      <c r="H96" s="50">
        <v>69</v>
      </c>
      <c r="I96" s="50">
        <v>71</v>
      </c>
      <c r="J96" s="50">
        <v>70</v>
      </c>
      <c r="K96" s="50">
        <v>68</v>
      </c>
      <c r="L96" s="50">
        <v>67</v>
      </c>
      <c r="M96" s="50">
        <v>66</v>
      </c>
      <c r="N96" s="50">
        <v>65</v>
      </c>
      <c r="O96" s="50">
        <v>64</v>
      </c>
      <c r="P96" s="2">
        <f t="shared" ref="P96:P104" si="38">SUM(D96:O96)</f>
        <v>804</v>
      </c>
      <c r="Q96" s="53">
        <f t="shared" ref="Q96:Q103" si="39">AVERAGE(D96:O96)</f>
        <v>67</v>
      </c>
      <c r="S96" s="6" t="s">
        <v>46</v>
      </c>
      <c r="T96" s="51">
        <f>(P104^2)/(12*3*3)</f>
        <v>556134.25925925921</v>
      </c>
      <c r="V96" s="3" t="s">
        <v>60</v>
      </c>
      <c r="W96" s="2">
        <f>SUM(D101:O101)</f>
        <v>977</v>
      </c>
      <c r="X96" s="2">
        <f>SUM(D102:O102)</f>
        <v>1040</v>
      </c>
      <c r="Y96" s="2">
        <f>SUM(D103:O103)</f>
        <v>1027</v>
      </c>
      <c r="Z96" s="2">
        <f>SUM(W96:Y96)</f>
        <v>3044</v>
      </c>
      <c r="AA96" s="53">
        <f>AVERAGE(W96:Y96)</f>
        <v>1014.6666666666666</v>
      </c>
      <c r="AC96" s="3" t="s">
        <v>44</v>
      </c>
      <c r="AD96" s="2">
        <f>3-1</f>
        <v>2</v>
      </c>
      <c r="AE96" s="53">
        <f>T100</f>
        <v>9810.2407407407882</v>
      </c>
      <c r="AF96" s="53">
        <f>AE96/AD96</f>
        <v>4905.1203703703941</v>
      </c>
      <c r="AG96" s="53">
        <f>AF96/AF98</f>
        <v>29.706103805734607</v>
      </c>
      <c r="AH96" s="53">
        <f>FINV(AH93,AD96,AD98)</f>
        <v>3.1000686386371408</v>
      </c>
      <c r="AI96" s="53">
        <f>FINV(AI93,AD96,AD98)</f>
        <v>4.8547979993760721</v>
      </c>
      <c r="AJ96" s="3" t="s">
        <v>72</v>
      </c>
      <c r="AK96" s="2"/>
      <c r="AM96" s="53" t="s">
        <v>17</v>
      </c>
      <c r="AN96" s="53">
        <v>81.833333333333329</v>
      </c>
      <c r="AO96" s="53" t="s">
        <v>107</v>
      </c>
      <c r="AP96" s="53">
        <f>AN96+AN85</f>
        <v>99.589625356482074</v>
      </c>
      <c r="AS96" s="3" t="s">
        <v>45</v>
      </c>
      <c r="AT96" s="2">
        <f>3-1</f>
        <v>2</v>
      </c>
      <c r="AU96" s="53">
        <f>SUMSQ(W97:Y97)/(3*12)-AT103</f>
        <v>288.01851851854008</v>
      </c>
      <c r="AV96" s="53">
        <f t="shared" si="36"/>
        <v>144.00925925927004</v>
      </c>
      <c r="AW96" s="53">
        <f>AV96/AV99</f>
        <v>0.87214047393902949</v>
      </c>
      <c r="AX96" s="53">
        <f>FINV(AX93,AT96,AT99)</f>
        <v>3.1000686386371408</v>
      </c>
      <c r="AY96" s="53">
        <f>FINV(AY93,AT96,AT99)</f>
        <v>4.8547979993760721</v>
      </c>
      <c r="AZ96" s="2" t="str">
        <f>IF(AW96&gt;AY96,"**",IF(AW96&gt;AX96,"*","TN"))</f>
        <v>TN</v>
      </c>
      <c r="BA96" s="2" t="str">
        <f t="shared" si="37"/>
        <v>Tidak Nyata</v>
      </c>
    </row>
    <row r="97" spans="1:53" x14ac:dyDescent="0.3">
      <c r="A97" s="73"/>
      <c r="B97" s="75"/>
      <c r="C97" s="2" t="s">
        <v>11</v>
      </c>
      <c r="D97" s="50">
        <v>69</v>
      </c>
      <c r="E97" s="50">
        <v>71</v>
      </c>
      <c r="F97" s="50">
        <v>68</v>
      </c>
      <c r="G97" s="50">
        <v>67</v>
      </c>
      <c r="H97" s="50">
        <v>69</v>
      </c>
      <c r="I97" s="50">
        <v>72</v>
      </c>
      <c r="J97" s="50">
        <v>66</v>
      </c>
      <c r="K97" s="50">
        <v>68</v>
      </c>
      <c r="L97" s="50">
        <v>65</v>
      </c>
      <c r="M97" s="50">
        <v>66</v>
      </c>
      <c r="N97" s="50">
        <v>68</v>
      </c>
      <c r="O97" s="50">
        <v>69</v>
      </c>
      <c r="P97" s="2">
        <f t="shared" si="38"/>
        <v>818</v>
      </c>
      <c r="Q97" s="53">
        <f t="shared" si="39"/>
        <v>68.166666666666671</v>
      </c>
      <c r="S97" s="6" t="s">
        <v>47</v>
      </c>
      <c r="T97" s="51">
        <f>SUMSQ(D95:O103)-T96</f>
        <v>26739.740740740788</v>
      </c>
      <c r="V97" s="3" t="s">
        <v>33</v>
      </c>
      <c r="W97" s="2">
        <f>SUM(W94:W96)</f>
        <v>2665</v>
      </c>
      <c r="X97" s="2">
        <f>SUM(X94:X96)</f>
        <v>2556</v>
      </c>
      <c r="Y97" s="2">
        <f>SUM(Y94:Y96)</f>
        <v>2529</v>
      </c>
      <c r="Z97" s="2">
        <f>SUM(W97:Y97)</f>
        <v>7750</v>
      </c>
      <c r="AA97" s="53">
        <f>AVERAGE(W97:Y97)</f>
        <v>2583.3333333333335</v>
      </c>
      <c r="AC97" s="3" t="s">
        <v>69</v>
      </c>
      <c r="AD97" s="2">
        <f>(3-1)*(3-1)</f>
        <v>4</v>
      </c>
      <c r="AE97" s="53">
        <f>T101</f>
        <v>983.48148148145992</v>
      </c>
      <c r="AF97" s="53">
        <f>AE97/AD97</f>
        <v>245.87037037036498</v>
      </c>
      <c r="AG97" s="53">
        <f>AF97/AF98</f>
        <v>1.4890257921285119</v>
      </c>
      <c r="AH97" s="53">
        <f>FINV(AH93,AD97,AD98)</f>
        <v>2.4752774088696223</v>
      </c>
      <c r="AI97" s="53">
        <f>FINV(AI93,AD97,AD98)</f>
        <v>3.5400845421240663</v>
      </c>
      <c r="AJ97" s="30" t="s">
        <v>95</v>
      </c>
      <c r="AK97" s="2"/>
      <c r="AM97" s="51"/>
      <c r="AN97" s="51"/>
      <c r="AO97" s="51"/>
      <c r="AP97" s="51"/>
      <c r="AS97" s="3" t="s">
        <v>44</v>
      </c>
      <c r="AT97" s="2">
        <f>3-1</f>
        <v>2</v>
      </c>
      <c r="AU97" s="53">
        <f>SUMSQ(Z94:Z96)/(3*12)-AT103</f>
        <v>9810.2407407407882</v>
      </c>
      <c r="AV97" s="53">
        <f t="shared" si="36"/>
        <v>4905.1203703703941</v>
      </c>
      <c r="AW97" s="53">
        <f>AV97/AV99</f>
        <v>29.706103805734607</v>
      </c>
      <c r="AX97" s="53">
        <f>FINV(AX93,AT97,AT99)</f>
        <v>3.1000686386371408</v>
      </c>
      <c r="AY97" s="53">
        <f>FINV(AY93,AT97,AT99)</f>
        <v>4.8547979993760721</v>
      </c>
      <c r="AZ97" s="2" t="str">
        <f>IF(AW97&gt;AY97,"**",IF(AW97&gt;AX97,"*","TN"))</f>
        <v>**</v>
      </c>
      <c r="BA97" s="2" t="str">
        <f t="shared" si="37"/>
        <v>Sangat Nyata</v>
      </c>
    </row>
    <row r="98" spans="1:53" ht="15.5" x14ac:dyDescent="0.3">
      <c r="A98" s="73"/>
      <c r="B98" s="75"/>
      <c r="C98" s="2" t="s">
        <v>12</v>
      </c>
      <c r="D98" s="4">
        <v>70</v>
      </c>
      <c r="E98" s="4">
        <v>64</v>
      </c>
      <c r="F98" s="4">
        <v>59</v>
      </c>
      <c r="G98" s="4">
        <v>68</v>
      </c>
      <c r="H98" s="4">
        <v>105</v>
      </c>
      <c r="I98" s="4">
        <v>60</v>
      </c>
      <c r="J98" s="4">
        <v>69</v>
      </c>
      <c r="K98" s="4">
        <v>73</v>
      </c>
      <c r="L98" s="4">
        <v>55</v>
      </c>
      <c r="M98" s="4">
        <v>53</v>
      </c>
      <c r="N98" s="4">
        <v>73</v>
      </c>
      <c r="O98" s="4">
        <v>76</v>
      </c>
      <c r="P98" s="2">
        <f t="shared" si="38"/>
        <v>825</v>
      </c>
      <c r="Q98" s="53">
        <f t="shared" si="39"/>
        <v>68.75</v>
      </c>
      <c r="S98" s="6" t="s">
        <v>48</v>
      </c>
      <c r="T98" s="51">
        <f>(SUMSQ(D104:O104)/(3*3))-T96</f>
        <v>1127.296296296292</v>
      </c>
      <c r="V98" s="3" t="s">
        <v>32</v>
      </c>
      <c r="W98" s="53">
        <f>AVERAGE(W94:W96)</f>
        <v>888.33333333333337</v>
      </c>
      <c r="X98" s="53">
        <f>AVERAGE(X94:X96)</f>
        <v>852</v>
      </c>
      <c r="Y98" s="53">
        <f>AVERAGE(Y94:Y96)</f>
        <v>843</v>
      </c>
      <c r="Z98" s="33"/>
      <c r="AA98" s="53"/>
      <c r="AC98" s="3" t="s">
        <v>70</v>
      </c>
      <c r="AD98" s="2">
        <f>((3*3)-1)*(12-1)</f>
        <v>88</v>
      </c>
      <c r="AE98" s="53">
        <f>T102</f>
        <v>14530.703703703708</v>
      </c>
      <c r="AF98" s="53">
        <f>AE98/AD98</f>
        <v>165.12163299663305</v>
      </c>
      <c r="AG98" s="53"/>
      <c r="AH98" s="53"/>
      <c r="AI98" s="53"/>
      <c r="AJ98" s="2"/>
      <c r="AK98" s="2"/>
      <c r="AM98" s="80" t="s">
        <v>80</v>
      </c>
      <c r="AN98" s="80"/>
      <c r="AO98" s="51"/>
      <c r="AP98" s="51"/>
      <c r="AS98" s="3" t="s">
        <v>69</v>
      </c>
      <c r="AT98" s="2">
        <f>AT96*AT97</f>
        <v>4</v>
      </c>
      <c r="AU98" s="53">
        <f>AU95-AU96-AU97</f>
        <v>983.48148148145992</v>
      </c>
      <c r="AV98" s="53">
        <f t="shared" si="36"/>
        <v>245.87037037036498</v>
      </c>
      <c r="AW98" s="53">
        <f>AV98/AV99</f>
        <v>1.4890257921285119</v>
      </c>
      <c r="AX98" s="53">
        <f>FINV(AX93,AT98,AT99)</f>
        <v>2.4752774088696223</v>
      </c>
      <c r="AY98" s="53">
        <f>FINV(AY93,AT98,AT99)</f>
        <v>3.5400845421240663</v>
      </c>
      <c r="AZ98" s="2" t="str">
        <f>IF(AW98&gt;AY98,"**",IF(AW98&gt;AX98,"*","TN"))</f>
        <v>TN</v>
      </c>
      <c r="BA98" s="2" t="str">
        <f t="shared" si="37"/>
        <v>Tidak Nyata</v>
      </c>
    </row>
    <row r="99" spans="1:53" ht="15.5" x14ac:dyDescent="0.3">
      <c r="A99" s="73"/>
      <c r="B99" s="75"/>
      <c r="C99" s="2" t="s">
        <v>13</v>
      </c>
      <c r="D99" s="4">
        <v>80</v>
      </c>
      <c r="E99" s="4">
        <v>60</v>
      </c>
      <c r="F99" s="4">
        <v>61</v>
      </c>
      <c r="G99" s="4">
        <v>72</v>
      </c>
      <c r="H99" s="4">
        <v>59</v>
      </c>
      <c r="I99" s="4">
        <v>55</v>
      </c>
      <c r="J99" s="4">
        <v>69</v>
      </c>
      <c r="K99" s="4">
        <v>40</v>
      </c>
      <c r="L99" s="4">
        <v>51</v>
      </c>
      <c r="M99" s="4">
        <v>48</v>
      </c>
      <c r="N99" s="4">
        <v>50</v>
      </c>
      <c r="O99" s="4">
        <v>67</v>
      </c>
      <c r="P99" s="2">
        <f t="shared" si="38"/>
        <v>712</v>
      </c>
      <c r="Q99" s="53">
        <f t="shared" si="39"/>
        <v>59.333333333333336</v>
      </c>
      <c r="S99" s="6" t="s">
        <v>50</v>
      </c>
      <c r="T99" s="51">
        <f>(SUMSQ(W97:Y97)/(12*3))-T96</f>
        <v>288.01851851854008</v>
      </c>
      <c r="W99" s="44"/>
      <c r="X99" s="44"/>
      <c r="Y99" s="44"/>
      <c r="Z99" s="44"/>
      <c r="AA99" s="51"/>
      <c r="AC99" s="3" t="s">
        <v>33</v>
      </c>
      <c r="AD99" s="2">
        <f>(3*3*12)-1</f>
        <v>107</v>
      </c>
      <c r="AE99" s="53">
        <f>T97</f>
        <v>26739.740740740788</v>
      </c>
      <c r="AF99" s="53"/>
      <c r="AG99" s="53"/>
      <c r="AH99" s="53"/>
      <c r="AI99" s="53"/>
      <c r="AJ99" s="2"/>
      <c r="AK99" s="2"/>
      <c r="AM99" s="53" t="s">
        <v>79</v>
      </c>
      <c r="AN99" s="53">
        <f>SQRT(AF98/12)</f>
        <v>3.7094657409191361</v>
      </c>
      <c r="AO99" s="51"/>
      <c r="AP99" s="55" t="s">
        <v>88</v>
      </c>
      <c r="AS99" s="3" t="s">
        <v>70</v>
      </c>
      <c r="AT99" s="2">
        <f>AT100-AT94-AT95</f>
        <v>88</v>
      </c>
      <c r="AU99" s="53">
        <f>AU100-AU94-AU95</f>
        <v>14530.703703703708</v>
      </c>
      <c r="AV99" s="53">
        <f t="shared" si="36"/>
        <v>165.12163299663305</v>
      </c>
      <c r="AW99" s="53"/>
      <c r="AX99" s="53"/>
      <c r="AY99" s="53"/>
      <c r="AZ99" s="2"/>
      <c r="BA99" s="2"/>
    </row>
    <row r="100" spans="1:53" ht="15.5" x14ac:dyDescent="0.3">
      <c r="A100" s="73"/>
      <c r="B100" s="75"/>
      <c r="C100" s="2" t="s">
        <v>14</v>
      </c>
      <c r="D100" s="4">
        <v>59</v>
      </c>
      <c r="E100" s="4">
        <v>55</v>
      </c>
      <c r="F100" s="4">
        <v>45</v>
      </c>
      <c r="G100" s="4">
        <v>55</v>
      </c>
      <c r="H100" s="4">
        <v>84</v>
      </c>
      <c r="I100" s="4">
        <v>61</v>
      </c>
      <c r="J100" s="4">
        <v>60</v>
      </c>
      <c r="K100" s="4">
        <v>62</v>
      </c>
      <c r="L100" s="4">
        <v>46</v>
      </c>
      <c r="M100" s="4">
        <v>50</v>
      </c>
      <c r="N100" s="4">
        <v>53</v>
      </c>
      <c r="O100" s="4">
        <v>54</v>
      </c>
      <c r="P100" s="2">
        <f t="shared" si="38"/>
        <v>684</v>
      </c>
      <c r="Q100" s="53">
        <f t="shared" si="39"/>
        <v>57</v>
      </c>
      <c r="S100" s="6" t="s">
        <v>49</v>
      </c>
      <c r="T100" s="51">
        <f>(SUMSQ(Z94:Z96)/(12*3))-T96</f>
        <v>9810.2407407407882</v>
      </c>
      <c r="AA100" s="51"/>
      <c r="AE100" s="51"/>
      <c r="AF100" s="51"/>
      <c r="AG100" s="51"/>
      <c r="AH100" s="51"/>
      <c r="AI100" s="51"/>
      <c r="AM100" s="53" t="s">
        <v>75</v>
      </c>
      <c r="AN100" s="53">
        <v>4.46</v>
      </c>
      <c r="AO100" s="51"/>
      <c r="AP100" s="51"/>
      <c r="AS100" s="3" t="s">
        <v>33</v>
      </c>
      <c r="AT100" s="2">
        <f>(3*3*12)-1</f>
        <v>107</v>
      </c>
      <c r="AU100" s="53">
        <f>SUMSQ(D95:O103)-AT103</f>
        <v>26739.740740740788</v>
      </c>
      <c r="AV100" s="53"/>
      <c r="AW100" s="53"/>
      <c r="AX100" s="53"/>
      <c r="AY100" s="53"/>
      <c r="AZ100" s="2"/>
      <c r="BA100" s="2"/>
    </row>
    <row r="101" spans="1:53" ht="15.5" x14ac:dyDescent="0.3">
      <c r="A101" s="73"/>
      <c r="B101" s="75"/>
      <c r="C101" s="2" t="s">
        <v>15</v>
      </c>
      <c r="D101" s="4">
        <v>85</v>
      </c>
      <c r="E101" s="4">
        <v>80</v>
      </c>
      <c r="F101" s="4">
        <v>92</v>
      </c>
      <c r="G101" s="4">
        <v>86</v>
      </c>
      <c r="H101" s="4">
        <v>52</v>
      </c>
      <c r="I101" s="4">
        <v>86</v>
      </c>
      <c r="J101" s="4">
        <v>85</v>
      </c>
      <c r="K101" s="4">
        <v>96</v>
      </c>
      <c r="L101" s="4">
        <v>78</v>
      </c>
      <c r="M101" s="4">
        <v>81</v>
      </c>
      <c r="N101" s="4">
        <v>85</v>
      </c>
      <c r="O101" s="4">
        <v>71</v>
      </c>
      <c r="P101" s="2">
        <f t="shared" si="38"/>
        <v>977</v>
      </c>
      <c r="Q101" s="53">
        <f t="shared" si="39"/>
        <v>81.416666666666671</v>
      </c>
      <c r="S101" s="6" t="s">
        <v>51</v>
      </c>
      <c r="T101" s="51">
        <f>(SUMSQ(W94:Y96)/(12))-T96-T99-T100</f>
        <v>983.48148148145992</v>
      </c>
      <c r="AA101" s="51"/>
      <c r="AE101" s="51"/>
      <c r="AF101" s="51"/>
      <c r="AG101" s="51"/>
      <c r="AH101" s="51"/>
      <c r="AI101" s="51"/>
      <c r="AM101" s="53" t="s">
        <v>76</v>
      </c>
      <c r="AN101" s="54">
        <f>AN100*AN99</f>
        <v>16.544217204499347</v>
      </c>
      <c r="AO101" s="51"/>
      <c r="AP101" s="51"/>
    </row>
    <row r="102" spans="1:53" ht="15.5" x14ac:dyDescent="0.3">
      <c r="A102" s="73"/>
      <c r="B102" s="75"/>
      <c r="C102" s="2" t="s">
        <v>16</v>
      </c>
      <c r="D102" s="4">
        <v>113</v>
      </c>
      <c r="E102" s="4">
        <v>107</v>
      </c>
      <c r="F102" s="4">
        <v>93</v>
      </c>
      <c r="G102" s="4">
        <v>65</v>
      </c>
      <c r="H102" s="4">
        <v>65</v>
      </c>
      <c r="I102" s="4">
        <v>56</v>
      </c>
      <c r="J102" s="4">
        <v>86</v>
      </c>
      <c r="K102" s="4">
        <v>102</v>
      </c>
      <c r="L102" s="4">
        <v>102</v>
      </c>
      <c r="M102" s="4">
        <v>74</v>
      </c>
      <c r="N102" s="4">
        <v>109</v>
      </c>
      <c r="O102" s="4">
        <v>68</v>
      </c>
      <c r="P102" s="2">
        <f t="shared" si="38"/>
        <v>1040</v>
      </c>
      <c r="Q102" s="53">
        <f t="shared" si="39"/>
        <v>86.666666666666671</v>
      </c>
      <c r="S102" s="6" t="s">
        <v>52</v>
      </c>
      <c r="T102" s="51">
        <f>T97-T98-T99-T100-T101</f>
        <v>14530.703703703708</v>
      </c>
      <c r="AA102" s="51"/>
      <c r="AE102" s="51"/>
      <c r="AF102" s="51"/>
      <c r="AG102" s="51"/>
      <c r="AH102" s="51"/>
      <c r="AI102" s="51"/>
      <c r="AM102" s="51"/>
      <c r="AN102" s="51"/>
      <c r="AO102" s="51"/>
      <c r="AP102" s="51"/>
    </row>
    <row r="103" spans="1:53" ht="15.5" x14ac:dyDescent="0.3">
      <c r="A103" s="73"/>
      <c r="B103" s="75"/>
      <c r="C103" s="2" t="s">
        <v>17</v>
      </c>
      <c r="D103" s="4">
        <v>67</v>
      </c>
      <c r="E103" s="4">
        <v>83</v>
      </c>
      <c r="F103" s="4">
        <v>119</v>
      </c>
      <c r="G103" s="4">
        <v>97</v>
      </c>
      <c r="H103" s="4">
        <v>105</v>
      </c>
      <c r="I103" s="4">
        <v>63</v>
      </c>
      <c r="J103" s="4">
        <v>69</v>
      </c>
      <c r="K103" s="4">
        <v>74</v>
      </c>
      <c r="L103" s="4">
        <v>110</v>
      </c>
      <c r="M103" s="4">
        <v>80</v>
      </c>
      <c r="N103" s="4">
        <v>91</v>
      </c>
      <c r="O103" s="4">
        <v>69</v>
      </c>
      <c r="P103" s="2">
        <f t="shared" si="38"/>
        <v>1027</v>
      </c>
      <c r="Q103" s="53">
        <f t="shared" si="39"/>
        <v>85.583333333333329</v>
      </c>
      <c r="AA103" s="51"/>
      <c r="AE103" s="51"/>
      <c r="AF103" s="51"/>
      <c r="AG103" s="51"/>
      <c r="AH103" s="51"/>
      <c r="AI103" s="51"/>
      <c r="AM103" s="53" t="s">
        <v>81</v>
      </c>
      <c r="AN103" s="53" t="s">
        <v>32</v>
      </c>
      <c r="AO103" s="53" t="s">
        <v>67</v>
      </c>
      <c r="AP103" s="53" t="s">
        <v>77</v>
      </c>
      <c r="AS103" s="2" t="s">
        <v>46</v>
      </c>
      <c r="AT103" s="53">
        <f>P104^2/(3*3*12)</f>
        <v>556134.25925925921</v>
      </c>
    </row>
    <row r="104" spans="1:53" x14ac:dyDescent="0.3">
      <c r="A104" s="73"/>
      <c r="B104" s="75"/>
      <c r="C104" s="2" t="s">
        <v>33</v>
      </c>
      <c r="D104" s="2">
        <f>SUM(D95:D103)</f>
        <v>673</v>
      </c>
      <c r="E104" s="2">
        <f t="shared" ref="E104:O104" si="40">SUM(E95:E103)</f>
        <v>654</v>
      </c>
      <c r="F104" s="2">
        <f t="shared" si="40"/>
        <v>692</v>
      </c>
      <c r="G104" s="2">
        <f t="shared" si="40"/>
        <v>659</v>
      </c>
      <c r="H104" s="2">
        <f t="shared" si="40"/>
        <v>653</v>
      </c>
      <c r="I104" s="2">
        <f t="shared" si="40"/>
        <v>598</v>
      </c>
      <c r="J104" s="2">
        <f t="shared" si="40"/>
        <v>654</v>
      </c>
      <c r="K104" s="2">
        <f t="shared" si="40"/>
        <v>656</v>
      </c>
      <c r="L104" s="2">
        <f t="shared" si="40"/>
        <v>647</v>
      </c>
      <c r="M104" s="2">
        <f t="shared" si="40"/>
        <v>588</v>
      </c>
      <c r="N104" s="2">
        <f t="shared" si="40"/>
        <v>661</v>
      </c>
      <c r="O104" s="2">
        <f t="shared" si="40"/>
        <v>615</v>
      </c>
      <c r="P104" s="2">
        <f t="shared" si="38"/>
        <v>7750</v>
      </c>
      <c r="Q104" s="53"/>
      <c r="AA104" s="51"/>
      <c r="AE104" s="51"/>
      <c r="AF104" s="51"/>
      <c r="AG104" s="51"/>
      <c r="AH104" s="51"/>
      <c r="AI104" s="51"/>
      <c r="AM104" s="53" t="s">
        <v>14</v>
      </c>
      <c r="AN104" s="53">
        <v>57</v>
      </c>
      <c r="AO104" s="53" t="s">
        <v>93</v>
      </c>
      <c r="AP104" s="53">
        <f>AN101+AN105</f>
        <v>75.87755053783269</v>
      </c>
    </row>
    <row r="105" spans="1:53" x14ac:dyDescent="0.3">
      <c r="A105" s="66"/>
      <c r="B105" s="76"/>
      <c r="C105" s="2" t="s">
        <v>32</v>
      </c>
      <c r="D105" s="53">
        <f>AVERAGE(D95:D103)</f>
        <v>74.777777777777771</v>
      </c>
      <c r="E105" s="53">
        <f t="shared" ref="E105:O105" si="41">AVERAGE(E95:E103)</f>
        <v>72.666666666666671</v>
      </c>
      <c r="F105" s="53">
        <f t="shared" si="41"/>
        <v>76.888888888888886</v>
      </c>
      <c r="G105" s="53">
        <f t="shared" si="41"/>
        <v>73.222222222222229</v>
      </c>
      <c r="H105" s="53">
        <f t="shared" si="41"/>
        <v>72.555555555555557</v>
      </c>
      <c r="I105" s="53">
        <f t="shared" si="41"/>
        <v>66.444444444444443</v>
      </c>
      <c r="J105" s="53">
        <f t="shared" si="41"/>
        <v>72.666666666666671</v>
      </c>
      <c r="K105" s="53">
        <f t="shared" si="41"/>
        <v>72.888888888888886</v>
      </c>
      <c r="L105" s="53">
        <f t="shared" si="41"/>
        <v>71.888888888888886</v>
      </c>
      <c r="M105" s="53">
        <f t="shared" si="41"/>
        <v>65.333333333333329</v>
      </c>
      <c r="N105" s="53">
        <f t="shared" si="41"/>
        <v>73.444444444444443</v>
      </c>
      <c r="O105" s="53">
        <f t="shared" si="41"/>
        <v>68.333333333333329</v>
      </c>
      <c r="P105" s="2"/>
      <c r="Q105" s="53"/>
      <c r="AA105" s="51"/>
      <c r="AE105" s="51"/>
      <c r="AF105" s="51"/>
      <c r="AG105" s="51"/>
      <c r="AH105" s="51"/>
      <c r="AI105" s="51"/>
      <c r="AM105" s="53" t="s">
        <v>13</v>
      </c>
      <c r="AN105" s="53">
        <v>59.333333333333336</v>
      </c>
      <c r="AO105" s="53" t="s">
        <v>93</v>
      </c>
      <c r="AP105" s="53">
        <f>AN101+AN105</f>
        <v>75.87755053783269</v>
      </c>
    </row>
    <row r="106" spans="1:53" x14ac:dyDescent="0.3">
      <c r="Q106" s="51"/>
      <c r="AA106" s="51"/>
      <c r="AE106" s="51"/>
      <c r="AF106" s="51"/>
      <c r="AG106" s="51"/>
      <c r="AH106" s="51"/>
      <c r="AI106" s="51"/>
      <c r="AM106" s="53" t="s">
        <v>10</v>
      </c>
      <c r="AN106" s="53">
        <v>67</v>
      </c>
      <c r="AO106" s="53" t="s">
        <v>99</v>
      </c>
      <c r="AP106" s="53">
        <f>AN107+AN101</f>
        <v>84.710883871166018</v>
      </c>
      <c r="AS106" s="6" t="s">
        <v>97</v>
      </c>
    </row>
    <row r="107" spans="1:53" x14ac:dyDescent="0.3">
      <c r="A107" s="3" t="s">
        <v>18</v>
      </c>
      <c r="B107" s="3" t="s">
        <v>20</v>
      </c>
      <c r="C107" s="65" t="s">
        <v>0</v>
      </c>
      <c r="D107" s="70" t="s">
        <v>1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2"/>
      <c r="P107" s="65" t="s">
        <v>33</v>
      </c>
      <c r="Q107" s="67" t="s">
        <v>32</v>
      </c>
      <c r="V107" s="65" t="s">
        <v>53</v>
      </c>
      <c r="W107" s="70" t="s">
        <v>54</v>
      </c>
      <c r="X107" s="71"/>
      <c r="Y107" s="72"/>
      <c r="Z107" s="65" t="s">
        <v>33</v>
      </c>
      <c r="AA107" s="67" t="s">
        <v>32</v>
      </c>
      <c r="AC107" s="65" t="s">
        <v>61</v>
      </c>
      <c r="AD107" s="65" t="s">
        <v>62</v>
      </c>
      <c r="AE107" s="67" t="s">
        <v>63</v>
      </c>
      <c r="AF107" s="67" t="s">
        <v>64</v>
      </c>
      <c r="AG107" s="67" t="s">
        <v>65</v>
      </c>
      <c r="AH107" s="64" t="s">
        <v>66</v>
      </c>
      <c r="AI107" s="64"/>
      <c r="AJ107" s="65" t="s">
        <v>67</v>
      </c>
      <c r="AK107" s="65" t="s">
        <v>68</v>
      </c>
      <c r="AM107" s="53" t="s">
        <v>11</v>
      </c>
      <c r="AN107" s="53">
        <v>68.166666666666671</v>
      </c>
      <c r="AO107" s="53" t="s">
        <v>99</v>
      </c>
      <c r="AP107" s="53">
        <f>AN107+AN101</f>
        <v>84.710883871166018</v>
      </c>
      <c r="AS107" s="65" t="s">
        <v>61</v>
      </c>
      <c r="AT107" s="65" t="s">
        <v>62</v>
      </c>
      <c r="AU107" s="65" t="s">
        <v>63</v>
      </c>
      <c r="AV107" s="65" t="s">
        <v>64</v>
      </c>
      <c r="AW107" s="65" t="s">
        <v>65</v>
      </c>
      <c r="AX107" s="69" t="s">
        <v>66</v>
      </c>
      <c r="AY107" s="69"/>
      <c r="AZ107" s="65" t="s">
        <v>67</v>
      </c>
      <c r="BA107" s="65" t="s">
        <v>68</v>
      </c>
    </row>
    <row r="108" spans="1:53" x14ac:dyDescent="0.3">
      <c r="A108" s="65">
        <v>8</v>
      </c>
      <c r="B108" s="74" t="s">
        <v>41</v>
      </c>
      <c r="C108" s="73"/>
      <c r="D108" s="70" t="s">
        <v>2</v>
      </c>
      <c r="E108" s="71"/>
      <c r="F108" s="71"/>
      <c r="G108" s="72"/>
      <c r="H108" s="70" t="s">
        <v>7</v>
      </c>
      <c r="I108" s="71"/>
      <c r="J108" s="71"/>
      <c r="K108" s="72"/>
      <c r="L108" s="70" t="s">
        <v>8</v>
      </c>
      <c r="M108" s="71"/>
      <c r="N108" s="71"/>
      <c r="O108" s="72"/>
      <c r="P108" s="73"/>
      <c r="Q108" s="77"/>
      <c r="S108" s="6" t="s">
        <v>71</v>
      </c>
      <c r="T108" s="6">
        <v>12</v>
      </c>
      <c r="V108" s="66"/>
      <c r="W108" s="3" t="s">
        <v>55</v>
      </c>
      <c r="X108" s="3" t="s">
        <v>56</v>
      </c>
      <c r="Y108" s="3" t="s">
        <v>57</v>
      </c>
      <c r="Z108" s="66"/>
      <c r="AA108" s="68"/>
      <c r="AC108" s="66"/>
      <c r="AD108" s="66"/>
      <c r="AE108" s="68"/>
      <c r="AF108" s="68"/>
      <c r="AG108" s="68"/>
      <c r="AH108" s="59">
        <v>0.05</v>
      </c>
      <c r="AI108" s="59">
        <v>0.01</v>
      </c>
      <c r="AJ108" s="66"/>
      <c r="AK108" s="66"/>
      <c r="AM108" s="53" t="s">
        <v>12</v>
      </c>
      <c r="AN108" s="53">
        <v>68.75</v>
      </c>
      <c r="AO108" s="53" t="s">
        <v>99</v>
      </c>
      <c r="AP108" s="53">
        <f>+AN108+AN101</f>
        <v>85.294217204499347</v>
      </c>
      <c r="AS108" s="66"/>
      <c r="AT108" s="66"/>
      <c r="AU108" s="66"/>
      <c r="AV108" s="66"/>
      <c r="AW108" s="66"/>
      <c r="AX108" s="42">
        <v>0.05</v>
      </c>
      <c r="AY108" s="42">
        <v>0.01</v>
      </c>
      <c r="AZ108" s="66"/>
      <c r="BA108" s="66"/>
    </row>
    <row r="109" spans="1:53" x14ac:dyDescent="0.3">
      <c r="A109" s="73"/>
      <c r="B109" s="75"/>
      <c r="C109" s="66"/>
      <c r="D109" s="3" t="s">
        <v>3</v>
      </c>
      <c r="E109" s="3" t="s">
        <v>4</v>
      </c>
      <c r="F109" s="3" t="s">
        <v>5</v>
      </c>
      <c r="G109" s="3" t="s">
        <v>6</v>
      </c>
      <c r="H109" s="3" t="s">
        <v>3</v>
      </c>
      <c r="I109" s="3" t="s">
        <v>4</v>
      </c>
      <c r="J109" s="3" t="s">
        <v>5</v>
      </c>
      <c r="K109" s="3" t="s">
        <v>6</v>
      </c>
      <c r="L109" s="3" t="s">
        <v>3</v>
      </c>
      <c r="M109" s="3" t="s">
        <v>4</v>
      </c>
      <c r="N109" s="3" t="s">
        <v>5</v>
      </c>
      <c r="O109" s="3" t="s">
        <v>6</v>
      </c>
      <c r="P109" s="66"/>
      <c r="Q109" s="68"/>
      <c r="S109" s="6" t="s">
        <v>44</v>
      </c>
      <c r="T109" s="6">
        <v>3</v>
      </c>
      <c r="V109" s="3" t="s">
        <v>58</v>
      </c>
      <c r="W109" s="2">
        <f>SUM(D110:O110)</f>
        <v>887</v>
      </c>
      <c r="X109" s="2">
        <f>SUM(D111:O111)</f>
        <v>852</v>
      </c>
      <c r="Y109" s="2">
        <f>SUM(D112:O112)</f>
        <v>861</v>
      </c>
      <c r="Z109" s="2">
        <f>SUM(W109:Y109)</f>
        <v>2600</v>
      </c>
      <c r="AA109" s="53">
        <f>AVERAGE(W109:Y109)</f>
        <v>866.66666666666663</v>
      </c>
      <c r="AC109" s="3" t="s">
        <v>43</v>
      </c>
      <c r="AD109" s="2">
        <f>12-1</f>
        <v>11</v>
      </c>
      <c r="AE109" s="53">
        <f>T113</f>
        <v>1403.361111111124</v>
      </c>
      <c r="AF109" s="53">
        <f>AE109/AD109</f>
        <v>127.578282828284</v>
      </c>
      <c r="AG109" s="53">
        <f>AF109/AF113</f>
        <v>0.92436190650444927</v>
      </c>
      <c r="AH109" s="53">
        <f>FINV(AH108,AD109,AD113)</f>
        <v>1.8991710184693407</v>
      </c>
      <c r="AI109" s="53">
        <f>FINV(AI108,AD109,AD113)</f>
        <v>2.4560580535880434</v>
      </c>
      <c r="AJ109" s="30" t="s">
        <v>95</v>
      </c>
      <c r="AK109" s="2"/>
      <c r="AM109" s="53" t="s">
        <v>9</v>
      </c>
      <c r="AN109" s="53">
        <v>71.916666666666671</v>
      </c>
      <c r="AO109" s="53" t="s">
        <v>100</v>
      </c>
      <c r="AP109" s="53">
        <f>AN109+AN101</f>
        <v>88.460883871166018</v>
      </c>
      <c r="AS109" s="3" t="s">
        <v>43</v>
      </c>
      <c r="AT109" s="2">
        <f>12-1</f>
        <v>11</v>
      </c>
      <c r="AU109" s="6">
        <f>SUMSQ(D119:O119)/(3*3)-AT118</f>
        <v>1403.361111111124</v>
      </c>
      <c r="AV109" s="53">
        <f>AU109/AT109</f>
        <v>127.578282828284</v>
      </c>
      <c r="AW109" s="53">
        <f>AV109/AV114</f>
        <v>0.92436190650444927</v>
      </c>
      <c r="AX109" s="53">
        <f>FINV(AX108,AT109,AT114)</f>
        <v>1.8991710184693407</v>
      </c>
      <c r="AY109" s="53">
        <f>FINV(AY108,AT109,AT114)</f>
        <v>2.4560580535880434</v>
      </c>
      <c r="AZ109" s="2" t="str">
        <f>IF(AW109&gt;AY109,"**",IF(AW109&gt;AX109,"*","TN"))</f>
        <v>TN</v>
      </c>
      <c r="BA109" s="2" t="str">
        <f>IF(AZ109="TN","Tidak Nyata",IF(AZ109="*","Nyata",IF(AZ109="**","Sangat Nyata",0)))</f>
        <v>Tidak Nyata</v>
      </c>
    </row>
    <row r="110" spans="1:53" ht="15.5" x14ac:dyDescent="0.3">
      <c r="A110" s="73"/>
      <c r="B110" s="75"/>
      <c r="C110" s="2" t="s">
        <v>9</v>
      </c>
      <c r="D110" s="4">
        <v>74</v>
      </c>
      <c r="E110" s="4">
        <v>68</v>
      </c>
      <c r="F110" s="4">
        <v>89</v>
      </c>
      <c r="G110" s="4">
        <v>79</v>
      </c>
      <c r="H110" s="4">
        <v>51</v>
      </c>
      <c r="I110" s="4">
        <v>74</v>
      </c>
      <c r="J110" s="4">
        <v>82</v>
      </c>
      <c r="K110" s="4">
        <v>70</v>
      </c>
      <c r="L110" s="4">
        <v>78</v>
      </c>
      <c r="M110" s="4">
        <v>74</v>
      </c>
      <c r="N110" s="4">
        <v>69</v>
      </c>
      <c r="O110" s="4">
        <v>79</v>
      </c>
      <c r="P110" s="2">
        <f>SUM(D110:O110)</f>
        <v>887</v>
      </c>
      <c r="Q110" s="53">
        <f>AVERAGE(D110:O110)</f>
        <v>73.916666666666671</v>
      </c>
      <c r="S110" s="6" t="s">
        <v>45</v>
      </c>
      <c r="T110" s="6">
        <v>3</v>
      </c>
      <c r="V110" s="3" t="s">
        <v>59</v>
      </c>
      <c r="W110" s="2">
        <f>SUM(D113:O113)</f>
        <v>864</v>
      </c>
      <c r="X110" s="2">
        <f>SUM(D114:O114)</f>
        <v>772</v>
      </c>
      <c r="Y110" s="2">
        <f>SUM(D115:O115)</f>
        <v>753</v>
      </c>
      <c r="Z110" s="2">
        <f>SUM(W110:Y110)</f>
        <v>2389</v>
      </c>
      <c r="AA110" s="53">
        <f>AVERAGE(W110:Y110)</f>
        <v>796.33333333333337</v>
      </c>
      <c r="AC110" s="3" t="s">
        <v>45</v>
      </c>
      <c r="AD110" s="2">
        <f>3-1</f>
        <v>2</v>
      </c>
      <c r="AE110" s="53">
        <f>T114</f>
        <v>356.16666666662786</v>
      </c>
      <c r="AF110" s="53">
        <f>AE110/AD110</f>
        <v>178.08333333331393</v>
      </c>
      <c r="AG110" s="53">
        <f>AF110/AF113</f>
        <v>1.2902936602322315</v>
      </c>
      <c r="AH110" s="53">
        <f>FINV(AH108,AD110,AD113)</f>
        <v>3.1000686386371408</v>
      </c>
      <c r="AI110" s="53">
        <f>FINV(AI108,AD110,AD113)</f>
        <v>4.8547979993760721</v>
      </c>
      <c r="AJ110" s="30" t="s">
        <v>95</v>
      </c>
      <c r="AK110" s="2"/>
      <c r="AM110" s="53" t="s">
        <v>15</v>
      </c>
      <c r="AN110" s="53">
        <v>81.416666666666671</v>
      </c>
      <c r="AO110" s="53" t="s">
        <v>101</v>
      </c>
      <c r="AP110" s="53">
        <f>AN110+AN101</f>
        <v>97.960883871166018</v>
      </c>
      <c r="AS110" s="3" t="s">
        <v>98</v>
      </c>
      <c r="AT110" s="2">
        <f>3*3-1</f>
        <v>8</v>
      </c>
      <c r="AU110" s="53">
        <f>SUMSQ(P110:P118)/12-AT118</f>
        <v>13574</v>
      </c>
      <c r="AV110" s="53">
        <f t="shared" ref="AV110:AV114" si="42">AU110/AT110</f>
        <v>1696.75</v>
      </c>
      <c r="AW110" s="53">
        <f>AV110/AV114</f>
        <v>12.293715122129774</v>
      </c>
      <c r="AX110" s="53">
        <f>FINV(AX108,AT110,AT114)</f>
        <v>2.0454143150341193</v>
      </c>
      <c r="AY110" s="53">
        <f>FINV(AY108,AT110,AT114)</f>
        <v>2.720181875728696</v>
      </c>
      <c r="AZ110" s="2" t="str">
        <f>IF(AW110&gt;AY110,"**",IF(AW110&gt;AX110,"*","TN"))</f>
        <v>**</v>
      </c>
      <c r="BA110" s="2" t="str">
        <f t="shared" ref="BA110:BA113" si="43">IF(AZ110="TN","Tidak Nyata",IF(AZ110="*","Nyata",IF(AZ110="**","Sangat Nyata",0)))</f>
        <v>Sangat Nyata</v>
      </c>
    </row>
    <row r="111" spans="1:53" x14ac:dyDescent="0.3">
      <c r="A111" s="73"/>
      <c r="B111" s="75"/>
      <c r="C111" s="2" t="s">
        <v>10</v>
      </c>
      <c r="D111" s="50">
        <v>71</v>
      </c>
      <c r="E111" s="50">
        <v>72</v>
      </c>
      <c r="F111" s="50">
        <v>68</v>
      </c>
      <c r="G111" s="50">
        <v>73</v>
      </c>
      <c r="H111" s="50">
        <v>69</v>
      </c>
      <c r="I111" s="50">
        <v>71</v>
      </c>
      <c r="J111" s="50">
        <v>70</v>
      </c>
      <c r="K111" s="50">
        <v>73</v>
      </c>
      <c r="L111" s="50">
        <v>72</v>
      </c>
      <c r="M111" s="50">
        <v>74</v>
      </c>
      <c r="N111" s="50">
        <v>70</v>
      </c>
      <c r="O111" s="50">
        <v>69</v>
      </c>
      <c r="P111" s="2">
        <f t="shared" ref="P111:P119" si="44">SUM(D111:O111)</f>
        <v>852</v>
      </c>
      <c r="Q111" s="53">
        <f t="shared" ref="Q111:Q118" si="45">AVERAGE(D111:O111)</f>
        <v>71</v>
      </c>
      <c r="S111" s="6" t="s">
        <v>46</v>
      </c>
      <c r="T111" s="51">
        <f>(P119^2)/(12*3*3)</f>
        <v>637102.08333333337</v>
      </c>
      <c r="V111" s="3" t="s">
        <v>60</v>
      </c>
      <c r="W111" s="2">
        <f>SUM(D116:O116)</f>
        <v>1099</v>
      </c>
      <c r="X111" s="2">
        <f>SUM(D117:O117)</f>
        <v>1130</v>
      </c>
      <c r="Y111" s="2">
        <f>SUM(D118:O118)</f>
        <v>1077</v>
      </c>
      <c r="Z111" s="2">
        <f>SUM(W111:Y111)</f>
        <v>3306</v>
      </c>
      <c r="AA111" s="53">
        <f>AVERAGE(W111:Y111)</f>
        <v>1102</v>
      </c>
      <c r="AC111" s="3" t="s">
        <v>44</v>
      </c>
      <c r="AD111" s="2">
        <f>3-1</f>
        <v>2</v>
      </c>
      <c r="AE111" s="53">
        <f>T115</f>
        <v>12813.388888888876</v>
      </c>
      <c r="AF111" s="53">
        <f>AE111/AD111</f>
        <v>6406.694444444438</v>
      </c>
      <c r="AG111" s="53">
        <f>AF111/AF113</f>
        <v>46.419376086360039</v>
      </c>
      <c r="AH111" s="53">
        <f>FINV(AH108,AD111,AD113)</f>
        <v>3.1000686386371408</v>
      </c>
      <c r="AI111" s="53">
        <f>FINV(AI108,AD111,AD113)</f>
        <v>4.8547979993760721</v>
      </c>
      <c r="AJ111" s="3" t="s">
        <v>72</v>
      </c>
      <c r="AK111" s="2"/>
      <c r="AM111" s="53" t="s">
        <v>17</v>
      </c>
      <c r="AN111" s="53">
        <v>85.583333333333329</v>
      </c>
      <c r="AO111" s="53" t="s">
        <v>102</v>
      </c>
      <c r="AP111" s="53">
        <f>AN111+AN101</f>
        <v>102.12755053783268</v>
      </c>
      <c r="AS111" s="3" t="s">
        <v>45</v>
      </c>
      <c r="AT111" s="2">
        <f>3-1</f>
        <v>2</v>
      </c>
      <c r="AU111" s="53">
        <f>SUMSQ(W112:Y112)/(3*12)-AT118</f>
        <v>356.16666666662786</v>
      </c>
      <c r="AV111" s="53">
        <f t="shared" si="42"/>
        <v>178.08333333331393</v>
      </c>
      <c r="AW111" s="53">
        <f>AV111/AV114</f>
        <v>1.2902936602322315</v>
      </c>
      <c r="AX111" s="53">
        <f>FINV(AX108,AT111,AT114)</f>
        <v>3.1000686386371408</v>
      </c>
      <c r="AY111" s="53">
        <f>FINV(AY108,AT111,AT114)</f>
        <v>4.8547979993760721</v>
      </c>
      <c r="AZ111" s="2" t="str">
        <f>IF(AW111&gt;AY111,"**",IF(AW111&gt;AX111,"*","TN"))</f>
        <v>TN</v>
      </c>
      <c r="BA111" s="2" t="str">
        <f t="shared" si="43"/>
        <v>Tidak Nyata</v>
      </c>
    </row>
    <row r="112" spans="1:53" x14ac:dyDescent="0.3">
      <c r="A112" s="73"/>
      <c r="B112" s="75"/>
      <c r="C112" s="2" t="s">
        <v>11</v>
      </c>
      <c r="D112" s="50">
        <v>72</v>
      </c>
      <c r="E112" s="50">
        <v>71</v>
      </c>
      <c r="F112" s="50">
        <v>70</v>
      </c>
      <c r="G112" s="50">
        <v>73</v>
      </c>
      <c r="H112" s="50">
        <v>74</v>
      </c>
      <c r="I112" s="50">
        <v>71</v>
      </c>
      <c r="J112" s="50">
        <v>70</v>
      </c>
      <c r="K112" s="50">
        <v>69</v>
      </c>
      <c r="L112" s="50">
        <v>72</v>
      </c>
      <c r="M112" s="50">
        <v>74</v>
      </c>
      <c r="N112" s="50">
        <v>73</v>
      </c>
      <c r="O112" s="50">
        <v>72</v>
      </c>
      <c r="P112" s="2">
        <f t="shared" si="44"/>
        <v>861</v>
      </c>
      <c r="Q112" s="53">
        <f t="shared" si="45"/>
        <v>71.75</v>
      </c>
      <c r="S112" s="6" t="s">
        <v>47</v>
      </c>
      <c r="T112" s="51">
        <f>SUMSQ(D110:O118)-T111</f>
        <v>27122.916666666628</v>
      </c>
      <c r="V112" s="3" t="s">
        <v>33</v>
      </c>
      <c r="W112" s="2">
        <f>SUM(W109:W111)</f>
        <v>2850</v>
      </c>
      <c r="X112" s="2">
        <f>SUM(X109:X111)</f>
        <v>2754</v>
      </c>
      <c r="Y112" s="2">
        <f>SUM(Y109:Y111)</f>
        <v>2691</v>
      </c>
      <c r="Z112" s="2">
        <f>SUM(W112:Y112)</f>
        <v>8295</v>
      </c>
      <c r="AA112" s="53">
        <f>AVERAGE(W112:Y112)</f>
        <v>2765</v>
      </c>
      <c r="AC112" s="3" t="s">
        <v>69</v>
      </c>
      <c r="AD112" s="2">
        <f>(3-1)*(3-1)</f>
        <v>4</v>
      </c>
      <c r="AE112" s="53">
        <f>T116</f>
        <v>404.44444444449618</v>
      </c>
      <c r="AF112" s="53">
        <f>AE112/AD112</f>
        <v>101.11111111112405</v>
      </c>
      <c r="AG112" s="53">
        <f>AF112/AF113</f>
        <v>0.7325953709634121</v>
      </c>
      <c r="AH112" s="53">
        <f>FINV(AH108,AD112,AD113)</f>
        <v>2.4752774088696223</v>
      </c>
      <c r="AI112" s="53">
        <f>FINV(AI108,AD112,AD113)</f>
        <v>3.5400845421240663</v>
      </c>
      <c r="AJ112" s="30" t="s">
        <v>95</v>
      </c>
      <c r="AK112" s="2"/>
      <c r="AM112" s="53" t="s">
        <v>16</v>
      </c>
      <c r="AN112" s="53">
        <v>86.666666666666671</v>
      </c>
      <c r="AO112" s="53" t="s">
        <v>102</v>
      </c>
      <c r="AP112" s="53">
        <f>AN112+AN101</f>
        <v>103.21088387116602</v>
      </c>
      <c r="AS112" s="3" t="s">
        <v>44</v>
      </c>
      <c r="AT112" s="2">
        <f>3-1</f>
        <v>2</v>
      </c>
      <c r="AU112" s="53">
        <f>SUMSQ(Z109:Z111)/(3*12)-AT118</f>
        <v>12813.388888888876</v>
      </c>
      <c r="AV112" s="53">
        <f t="shared" si="42"/>
        <v>6406.694444444438</v>
      </c>
      <c r="AW112" s="53">
        <f>AV112/AV114</f>
        <v>46.419376086360039</v>
      </c>
      <c r="AX112" s="53">
        <f>FINV(AX108,AT112,AT114)</f>
        <v>3.1000686386371408</v>
      </c>
      <c r="AY112" s="53">
        <f>FINV(AY108,AT112,AT114)</f>
        <v>4.8547979993760721</v>
      </c>
      <c r="AZ112" s="2" t="str">
        <f>IF(AW112&gt;AY112,"**",IF(AW112&gt;AX112,"*","TN"))</f>
        <v>**</v>
      </c>
      <c r="BA112" s="2" t="str">
        <f t="shared" si="43"/>
        <v>Sangat Nyata</v>
      </c>
    </row>
    <row r="113" spans="1:53" ht="15.5" x14ac:dyDescent="0.3">
      <c r="A113" s="73"/>
      <c r="B113" s="75"/>
      <c r="C113" s="2" t="s">
        <v>12</v>
      </c>
      <c r="D113" s="4">
        <v>74</v>
      </c>
      <c r="E113" s="4">
        <v>69</v>
      </c>
      <c r="F113" s="4">
        <v>64</v>
      </c>
      <c r="G113" s="4">
        <v>70</v>
      </c>
      <c r="H113" s="4">
        <v>107</v>
      </c>
      <c r="I113" s="4">
        <v>65</v>
      </c>
      <c r="J113" s="4">
        <v>73</v>
      </c>
      <c r="K113" s="4">
        <v>75</v>
      </c>
      <c r="L113" s="4">
        <v>58</v>
      </c>
      <c r="M113" s="4">
        <v>55</v>
      </c>
      <c r="N113" s="4">
        <v>76</v>
      </c>
      <c r="O113" s="4">
        <v>78</v>
      </c>
      <c r="P113" s="2">
        <f t="shared" si="44"/>
        <v>864</v>
      </c>
      <c r="Q113" s="53">
        <f t="shared" si="45"/>
        <v>72</v>
      </c>
      <c r="S113" s="6" t="s">
        <v>48</v>
      </c>
      <c r="T113" s="51">
        <f>(SUMSQ(D119:O119)/(3*3))-T111</f>
        <v>1403.361111111124</v>
      </c>
      <c r="V113" s="3" t="s">
        <v>32</v>
      </c>
      <c r="W113" s="53">
        <f>AVERAGE(W109:W111)</f>
        <v>950</v>
      </c>
      <c r="X113" s="53">
        <f>AVERAGE(X109:X111)</f>
        <v>918</v>
      </c>
      <c r="Y113" s="53">
        <f>AVERAGE(Y109:Y111)</f>
        <v>897</v>
      </c>
      <c r="Z113" s="2"/>
      <c r="AA113" s="53"/>
      <c r="AC113" s="3" t="s">
        <v>70</v>
      </c>
      <c r="AD113" s="2">
        <f>((3*3)-1)*(12-1)</f>
        <v>88</v>
      </c>
      <c r="AE113" s="53">
        <f>T117</f>
        <v>12145.555555555504</v>
      </c>
      <c r="AF113" s="53">
        <f>AE113/AD113</f>
        <v>138.01767676767619</v>
      </c>
      <c r="AG113" s="53"/>
      <c r="AH113" s="53"/>
      <c r="AI113" s="53"/>
      <c r="AJ113" s="2"/>
      <c r="AK113" s="2"/>
      <c r="AM113" s="51"/>
      <c r="AN113" s="51"/>
      <c r="AO113" s="51"/>
      <c r="AP113" s="51"/>
      <c r="AS113" s="3" t="s">
        <v>69</v>
      </c>
      <c r="AT113" s="2">
        <f>AT111*AT112</f>
        <v>4</v>
      </c>
      <c r="AU113" s="53">
        <f>AU110-AU111-AU112</f>
        <v>404.44444444449618</v>
      </c>
      <c r="AV113" s="53">
        <f t="shared" si="42"/>
        <v>101.11111111112405</v>
      </c>
      <c r="AW113" s="53">
        <f>AV113/AV114</f>
        <v>0.7325953709634121</v>
      </c>
      <c r="AX113" s="53">
        <f>FINV(AX108,AT113,AT114)</f>
        <v>2.4752774088696223</v>
      </c>
      <c r="AY113" s="53">
        <f>FINV(AY108,AT113,AT114)</f>
        <v>3.5400845421240663</v>
      </c>
      <c r="AZ113" s="2" t="str">
        <f>IF(AW113&gt;AY113,"**",IF(AW113&gt;AX113,"*","TN"))</f>
        <v>TN</v>
      </c>
      <c r="BA113" s="2" t="str">
        <f t="shared" si="43"/>
        <v>Tidak Nyata</v>
      </c>
    </row>
    <row r="114" spans="1:53" ht="15.5" x14ac:dyDescent="0.3">
      <c r="A114" s="73"/>
      <c r="B114" s="75"/>
      <c r="C114" s="2" t="s">
        <v>13</v>
      </c>
      <c r="D114" s="4">
        <v>82</v>
      </c>
      <c r="E114" s="4">
        <v>66</v>
      </c>
      <c r="F114" s="4">
        <v>68</v>
      </c>
      <c r="G114" s="4">
        <v>75</v>
      </c>
      <c r="H114" s="4">
        <v>64</v>
      </c>
      <c r="I114" s="4">
        <v>65</v>
      </c>
      <c r="J114" s="4">
        <v>73</v>
      </c>
      <c r="K114" s="4">
        <v>50</v>
      </c>
      <c r="L114" s="4">
        <v>54</v>
      </c>
      <c r="M114" s="4">
        <v>52</v>
      </c>
      <c r="N114" s="4">
        <v>54</v>
      </c>
      <c r="O114" s="4">
        <v>69</v>
      </c>
      <c r="P114" s="2">
        <f t="shared" si="44"/>
        <v>772</v>
      </c>
      <c r="Q114" s="53">
        <f t="shared" si="45"/>
        <v>64.333333333333329</v>
      </c>
      <c r="S114" s="6" t="s">
        <v>50</v>
      </c>
      <c r="T114" s="51">
        <f>(SUMSQ(W112:Y112)/(12*3))-T111</f>
        <v>356.16666666662786</v>
      </c>
      <c r="AA114" s="51"/>
      <c r="AC114" s="3" t="s">
        <v>33</v>
      </c>
      <c r="AD114" s="2">
        <f>(3*3*12)-1</f>
        <v>107</v>
      </c>
      <c r="AE114" s="53">
        <f>T112</f>
        <v>27122.916666666628</v>
      </c>
      <c r="AF114" s="53"/>
      <c r="AG114" s="53"/>
      <c r="AH114" s="53"/>
      <c r="AI114" s="53"/>
      <c r="AJ114" s="2"/>
      <c r="AK114" s="2"/>
      <c r="AM114" s="80" t="s">
        <v>80</v>
      </c>
      <c r="AN114" s="80"/>
      <c r="AO114" s="51"/>
      <c r="AP114" s="51"/>
      <c r="AS114" s="3" t="s">
        <v>70</v>
      </c>
      <c r="AT114" s="2">
        <f>AT115-AT109-AT110</f>
        <v>88</v>
      </c>
      <c r="AU114" s="53">
        <f>AU115-AU109-AU110</f>
        <v>12145.555555555504</v>
      </c>
      <c r="AV114" s="53">
        <f t="shared" si="42"/>
        <v>138.01767676767619</v>
      </c>
      <c r="AW114" s="53"/>
      <c r="AX114" s="53"/>
      <c r="AY114" s="53"/>
      <c r="AZ114" s="2"/>
      <c r="BA114" s="2"/>
    </row>
    <row r="115" spans="1:53" ht="15.5" x14ac:dyDescent="0.3">
      <c r="A115" s="73"/>
      <c r="B115" s="75"/>
      <c r="C115" s="2" t="s">
        <v>14</v>
      </c>
      <c r="D115" s="4">
        <v>61</v>
      </c>
      <c r="E115" s="4">
        <v>60</v>
      </c>
      <c r="F115" s="4">
        <v>62</v>
      </c>
      <c r="G115" s="4">
        <v>63</v>
      </c>
      <c r="H115" s="4">
        <v>89</v>
      </c>
      <c r="I115" s="4">
        <v>67</v>
      </c>
      <c r="J115" s="4">
        <v>66</v>
      </c>
      <c r="K115" s="4">
        <v>69</v>
      </c>
      <c r="L115" s="4">
        <v>49</v>
      </c>
      <c r="M115" s="4">
        <v>54</v>
      </c>
      <c r="N115" s="4">
        <v>55</v>
      </c>
      <c r="O115" s="4">
        <v>58</v>
      </c>
      <c r="P115" s="2">
        <f t="shared" si="44"/>
        <v>753</v>
      </c>
      <c r="Q115" s="53">
        <f t="shared" si="45"/>
        <v>62.75</v>
      </c>
      <c r="S115" s="6" t="s">
        <v>49</v>
      </c>
      <c r="T115" s="51">
        <f>(SUMSQ(Z109:Z111)/(12*3))-T111</f>
        <v>12813.388888888876</v>
      </c>
      <c r="AA115" s="51"/>
      <c r="AE115" s="51"/>
      <c r="AF115" s="51"/>
      <c r="AG115" s="51"/>
      <c r="AH115" s="51"/>
      <c r="AI115" s="51"/>
      <c r="AM115" s="53" t="s">
        <v>79</v>
      </c>
      <c r="AN115" s="53">
        <f>SQRT(AF113/12)</f>
        <v>3.3913821760416529</v>
      </c>
      <c r="AO115" s="51"/>
      <c r="AP115" s="55" t="s">
        <v>89</v>
      </c>
      <c r="AS115" s="3" t="s">
        <v>33</v>
      </c>
      <c r="AT115" s="2">
        <f>(3*3*12)-1</f>
        <v>107</v>
      </c>
      <c r="AU115" s="53">
        <f>SUMSQ(D110:O118)-AT118</f>
        <v>27122.916666666628</v>
      </c>
      <c r="AV115" s="53"/>
      <c r="AW115" s="53"/>
      <c r="AX115" s="53"/>
      <c r="AY115" s="53"/>
      <c r="AZ115" s="2"/>
      <c r="BA115" s="2"/>
    </row>
    <row r="116" spans="1:53" ht="15.5" x14ac:dyDescent="0.3">
      <c r="A116" s="73"/>
      <c r="B116" s="75"/>
      <c r="C116" s="2" t="s">
        <v>15</v>
      </c>
      <c r="D116" s="4">
        <v>116</v>
      </c>
      <c r="E116" s="4">
        <v>90</v>
      </c>
      <c r="F116" s="4">
        <v>99</v>
      </c>
      <c r="G116" s="4">
        <v>90</v>
      </c>
      <c r="H116" s="4">
        <v>68</v>
      </c>
      <c r="I116" s="4">
        <v>84</v>
      </c>
      <c r="J116" s="4">
        <v>93</v>
      </c>
      <c r="K116" s="4">
        <v>104</v>
      </c>
      <c r="L116" s="4">
        <v>80</v>
      </c>
      <c r="M116" s="4">
        <v>93</v>
      </c>
      <c r="N116" s="4">
        <v>96</v>
      </c>
      <c r="O116" s="4">
        <v>86</v>
      </c>
      <c r="P116" s="2">
        <f t="shared" si="44"/>
        <v>1099</v>
      </c>
      <c r="Q116" s="53">
        <f t="shared" si="45"/>
        <v>91.583333333333329</v>
      </c>
      <c r="S116" s="6" t="s">
        <v>51</v>
      </c>
      <c r="T116" s="51">
        <f>(SUMSQ(W109:Y111)/(12))-T111-T114-T115</f>
        <v>404.44444444449618</v>
      </c>
      <c r="AA116" s="51"/>
      <c r="AE116" s="51"/>
      <c r="AF116" s="51"/>
      <c r="AG116" s="51"/>
      <c r="AH116" s="51"/>
      <c r="AI116" s="51"/>
      <c r="AM116" s="53" t="s">
        <v>75</v>
      </c>
      <c r="AN116" s="53">
        <v>4.46</v>
      </c>
      <c r="AO116" s="51"/>
      <c r="AP116" s="51"/>
    </row>
    <row r="117" spans="1:53" ht="15.5" x14ac:dyDescent="0.3">
      <c r="A117" s="73"/>
      <c r="B117" s="75"/>
      <c r="C117" s="2" t="s">
        <v>16</v>
      </c>
      <c r="D117" s="4">
        <v>79</v>
      </c>
      <c r="E117" s="4">
        <v>71</v>
      </c>
      <c r="F117" s="4">
        <v>96</v>
      </c>
      <c r="G117" s="4">
        <v>103</v>
      </c>
      <c r="H117" s="4">
        <v>121</v>
      </c>
      <c r="I117" s="4">
        <v>114</v>
      </c>
      <c r="J117" s="4">
        <v>106</v>
      </c>
      <c r="K117" s="4">
        <v>78</v>
      </c>
      <c r="L117" s="4">
        <v>103</v>
      </c>
      <c r="M117" s="4">
        <v>81</v>
      </c>
      <c r="N117" s="4">
        <v>102</v>
      </c>
      <c r="O117" s="4">
        <v>76</v>
      </c>
      <c r="P117" s="2">
        <f t="shared" si="44"/>
        <v>1130</v>
      </c>
      <c r="Q117" s="53">
        <f t="shared" si="45"/>
        <v>94.166666666666671</v>
      </c>
      <c r="S117" s="6" t="s">
        <v>52</v>
      </c>
      <c r="T117" s="51">
        <f>T112-T113-T114-T115-T116</f>
        <v>12145.555555555504</v>
      </c>
      <c r="AA117" s="51"/>
      <c r="AE117" s="51"/>
      <c r="AF117" s="51"/>
      <c r="AG117" s="51"/>
      <c r="AH117" s="51"/>
      <c r="AI117" s="51"/>
      <c r="AM117" s="53" t="s">
        <v>76</v>
      </c>
      <c r="AN117" s="54">
        <f>AN116*AN115</f>
        <v>15.125564505145771</v>
      </c>
      <c r="AO117" s="51"/>
      <c r="AP117" s="51"/>
    </row>
    <row r="118" spans="1:53" ht="15.5" x14ac:dyDescent="0.3">
      <c r="A118" s="73"/>
      <c r="B118" s="75"/>
      <c r="C118" s="2" t="s">
        <v>17</v>
      </c>
      <c r="D118" s="4">
        <v>65</v>
      </c>
      <c r="E118" s="4">
        <v>89</v>
      </c>
      <c r="F118" s="4">
        <v>120</v>
      </c>
      <c r="G118" s="4">
        <v>101</v>
      </c>
      <c r="H118" s="4">
        <v>113</v>
      </c>
      <c r="I118" s="4">
        <v>70</v>
      </c>
      <c r="J118" s="4">
        <v>73</v>
      </c>
      <c r="K118" s="4">
        <v>75</v>
      </c>
      <c r="L118" s="4">
        <v>112</v>
      </c>
      <c r="M118" s="4">
        <v>92</v>
      </c>
      <c r="N118" s="4">
        <v>91</v>
      </c>
      <c r="O118" s="4">
        <v>76</v>
      </c>
      <c r="P118" s="2">
        <f t="shared" si="44"/>
        <v>1077</v>
      </c>
      <c r="Q118" s="53">
        <f t="shared" si="45"/>
        <v>89.75</v>
      </c>
      <c r="AA118" s="51"/>
      <c r="AE118" s="51"/>
      <c r="AF118" s="51"/>
      <c r="AG118" s="51"/>
      <c r="AH118" s="51"/>
      <c r="AI118" s="51"/>
      <c r="AM118" s="51"/>
      <c r="AN118" s="51"/>
      <c r="AO118" s="51"/>
      <c r="AP118" s="51"/>
      <c r="AS118" s="2" t="s">
        <v>46</v>
      </c>
      <c r="AT118" s="53">
        <f>P119^2/(3*3*12)</f>
        <v>637102.08333333337</v>
      </c>
    </row>
    <row r="119" spans="1:53" x14ac:dyDescent="0.3">
      <c r="A119" s="73"/>
      <c r="B119" s="75"/>
      <c r="C119" s="2" t="s">
        <v>33</v>
      </c>
      <c r="D119" s="2">
        <f>SUM(D110:D118)</f>
        <v>694</v>
      </c>
      <c r="E119" s="2">
        <f t="shared" ref="E119:O119" si="46">SUM(E110:E118)</f>
        <v>656</v>
      </c>
      <c r="F119" s="2">
        <f t="shared" si="46"/>
        <v>736</v>
      </c>
      <c r="G119" s="2">
        <f t="shared" si="46"/>
        <v>727</v>
      </c>
      <c r="H119" s="2">
        <f t="shared" si="46"/>
        <v>756</v>
      </c>
      <c r="I119" s="2">
        <f t="shared" si="46"/>
        <v>681</v>
      </c>
      <c r="J119" s="2">
        <f t="shared" si="46"/>
        <v>706</v>
      </c>
      <c r="K119" s="2">
        <f t="shared" si="46"/>
        <v>663</v>
      </c>
      <c r="L119" s="2">
        <f t="shared" si="46"/>
        <v>678</v>
      </c>
      <c r="M119" s="2">
        <f t="shared" si="46"/>
        <v>649</v>
      </c>
      <c r="N119" s="2">
        <f t="shared" si="46"/>
        <v>686</v>
      </c>
      <c r="O119" s="2">
        <f t="shared" si="46"/>
        <v>663</v>
      </c>
      <c r="P119" s="2">
        <f t="shared" si="44"/>
        <v>8295</v>
      </c>
      <c r="Q119" s="53"/>
      <c r="AA119" s="51"/>
      <c r="AE119" s="51"/>
      <c r="AF119" s="51"/>
      <c r="AG119" s="51"/>
      <c r="AH119" s="51"/>
      <c r="AI119" s="51"/>
      <c r="AM119" s="53" t="s">
        <v>81</v>
      </c>
      <c r="AN119" s="53" t="s">
        <v>32</v>
      </c>
      <c r="AO119" s="53" t="s">
        <v>67</v>
      </c>
      <c r="AP119" s="53" t="s">
        <v>77</v>
      </c>
    </row>
    <row r="120" spans="1:53" x14ac:dyDescent="0.3">
      <c r="A120" s="66"/>
      <c r="B120" s="76"/>
      <c r="C120" s="2" t="s">
        <v>32</v>
      </c>
      <c r="D120" s="53">
        <f>AVERAGE(D110:D118)</f>
        <v>77.111111111111114</v>
      </c>
      <c r="E120" s="53">
        <f t="shared" ref="E120:O120" si="47">AVERAGE(E110:E118)</f>
        <v>72.888888888888886</v>
      </c>
      <c r="F120" s="53">
        <f t="shared" si="47"/>
        <v>81.777777777777771</v>
      </c>
      <c r="G120" s="53">
        <f t="shared" si="47"/>
        <v>80.777777777777771</v>
      </c>
      <c r="H120" s="53">
        <f t="shared" si="47"/>
        <v>84</v>
      </c>
      <c r="I120" s="53">
        <f t="shared" si="47"/>
        <v>75.666666666666671</v>
      </c>
      <c r="J120" s="53">
        <f t="shared" si="47"/>
        <v>78.444444444444443</v>
      </c>
      <c r="K120" s="53">
        <f t="shared" si="47"/>
        <v>73.666666666666671</v>
      </c>
      <c r="L120" s="53">
        <f t="shared" si="47"/>
        <v>75.333333333333329</v>
      </c>
      <c r="M120" s="53">
        <f t="shared" si="47"/>
        <v>72.111111111111114</v>
      </c>
      <c r="N120" s="53">
        <f t="shared" si="47"/>
        <v>76.222222222222229</v>
      </c>
      <c r="O120" s="53">
        <f t="shared" si="47"/>
        <v>73.666666666666671</v>
      </c>
      <c r="P120" s="2"/>
      <c r="Q120" s="53"/>
      <c r="AA120" s="51"/>
      <c r="AE120" s="51"/>
      <c r="AF120" s="51"/>
      <c r="AG120" s="51"/>
      <c r="AH120" s="51"/>
      <c r="AI120" s="51"/>
      <c r="AM120" s="53" t="s">
        <v>14</v>
      </c>
      <c r="AN120" s="53">
        <v>62.75</v>
      </c>
      <c r="AO120" s="53" t="s">
        <v>93</v>
      </c>
      <c r="AP120" s="53">
        <f>AN120+AN117</f>
        <v>77.875564505145775</v>
      </c>
    </row>
    <row r="121" spans="1:53" x14ac:dyDescent="0.3">
      <c r="Q121" s="51"/>
      <c r="AA121" s="51"/>
      <c r="AE121" s="51"/>
      <c r="AF121" s="51"/>
      <c r="AG121" s="51"/>
      <c r="AH121" s="51"/>
      <c r="AI121" s="51"/>
      <c r="AM121" s="53" t="s">
        <v>13</v>
      </c>
      <c r="AN121" s="53">
        <v>64.333333333333329</v>
      </c>
      <c r="AO121" s="53" t="s">
        <v>93</v>
      </c>
      <c r="AP121" s="53">
        <f>AN121+AN117</f>
        <v>79.458897838479103</v>
      </c>
      <c r="AS121" s="6" t="s">
        <v>97</v>
      </c>
    </row>
    <row r="122" spans="1:53" x14ac:dyDescent="0.3">
      <c r="A122" s="3" t="s">
        <v>18</v>
      </c>
      <c r="B122" s="3" t="s">
        <v>20</v>
      </c>
      <c r="C122" s="65" t="s">
        <v>0</v>
      </c>
      <c r="D122" s="70" t="s">
        <v>1</v>
      </c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2"/>
      <c r="P122" s="65" t="s">
        <v>33</v>
      </c>
      <c r="Q122" s="67" t="s">
        <v>32</v>
      </c>
      <c r="V122" s="65" t="s">
        <v>53</v>
      </c>
      <c r="W122" s="70" t="s">
        <v>54</v>
      </c>
      <c r="X122" s="71"/>
      <c r="Y122" s="72"/>
      <c r="Z122" s="65" t="s">
        <v>33</v>
      </c>
      <c r="AA122" s="67" t="s">
        <v>32</v>
      </c>
      <c r="AC122" s="65" t="s">
        <v>61</v>
      </c>
      <c r="AD122" s="65" t="s">
        <v>62</v>
      </c>
      <c r="AE122" s="67" t="s">
        <v>63</v>
      </c>
      <c r="AF122" s="67" t="s">
        <v>64</v>
      </c>
      <c r="AG122" s="67" t="s">
        <v>65</v>
      </c>
      <c r="AH122" s="64" t="s">
        <v>66</v>
      </c>
      <c r="AI122" s="64"/>
      <c r="AJ122" s="65" t="s">
        <v>67</v>
      </c>
      <c r="AK122" s="65" t="s">
        <v>68</v>
      </c>
      <c r="AM122" s="53" t="s">
        <v>10</v>
      </c>
      <c r="AN122" s="53">
        <v>71</v>
      </c>
      <c r="AO122" s="53" t="s">
        <v>93</v>
      </c>
      <c r="AP122" s="53">
        <f>AN122+AN117</f>
        <v>86.125564505145775</v>
      </c>
      <c r="AS122" s="65" t="s">
        <v>61</v>
      </c>
      <c r="AT122" s="65" t="s">
        <v>62</v>
      </c>
      <c r="AU122" s="65" t="s">
        <v>63</v>
      </c>
      <c r="AV122" s="65" t="s">
        <v>64</v>
      </c>
      <c r="AW122" s="65" t="s">
        <v>65</v>
      </c>
      <c r="AX122" s="69" t="s">
        <v>66</v>
      </c>
      <c r="AY122" s="69"/>
      <c r="AZ122" s="65" t="s">
        <v>67</v>
      </c>
      <c r="BA122" s="65" t="s">
        <v>68</v>
      </c>
    </row>
    <row r="123" spans="1:53" x14ac:dyDescent="0.3">
      <c r="A123" s="65">
        <v>9</v>
      </c>
      <c r="B123" s="74" t="s">
        <v>42</v>
      </c>
      <c r="C123" s="73"/>
      <c r="D123" s="70" t="s">
        <v>2</v>
      </c>
      <c r="E123" s="71"/>
      <c r="F123" s="71"/>
      <c r="G123" s="72"/>
      <c r="H123" s="70" t="s">
        <v>7</v>
      </c>
      <c r="I123" s="71"/>
      <c r="J123" s="71"/>
      <c r="K123" s="72"/>
      <c r="L123" s="70" t="s">
        <v>8</v>
      </c>
      <c r="M123" s="71"/>
      <c r="N123" s="71"/>
      <c r="O123" s="72"/>
      <c r="P123" s="73"/>
      <c r="Q123" s="77"/>
      <c r="S123" s="6" t="s">
        <v>71</v>
      </c>
      <c r="T123" s="6">
        <v>12</v>
      </c>
      <c r="V123" s="66"/>
      <c r="W123" s="3" t="s">
        <v>55</v>
      </c>
      <c r="X123" s="3" t="s">
        <v>56</v>
      </c>
      <c r="Y123" s="3" t="s">
        <v>57</v>
      </c>
      <c r="Z123" s="66"/>
      <c r="AA123" s="68"/>
      <c r="AC123" s="66"/>
      <c r="AD123" s="66"/>
      <c r="AE123" s="68"/>
      <c r="AF123" s="68"/>
      <c r="AG123" s="68"/>
      <c r="AH123" s="59">
        <v>0.05</v>
      </c>
      <c r="AI123" s="59">
        <v>0.01</v>
      </c>
      <c r="AJ123" s="66"/>
      <c r="AK123" s="66"/>
      <c r="AM123" s="53" t="s">
        <v>11</v>
      </c>
      <c r="AN123" s="53">
        <v>71.75</v>
      </c>
      <c r="AO123" s="53" t="s">
        <v>93</v>
      </c>
      <c r="AP123" s="53">
        <f>AN123+AN117</f>
        <v>86.875564505145775</v>
      </c>
      <c r="AS123" s="66"/>
      <c r="AT123" s="66"/>
      <c r="AU123" s="66"/>
      <c r="AV123" s="66"/>
      <c r="AW123" s="66"/>
      <c r="AX123" s="42">
        <v>0.05</v>
      </c>
      <c r="AY123" s="42">
        <v>0.01</v>
      </c>
      <c r="AZ123" s="66"/>
      <c r="BA123" s="66"/>
    </row>
    <row r="124" spans="1:53" x14ac:dyDescent="0.3">
      <c r="A124" s="73"/>
      <c r="B124" s="75"/>
      <c r="C124" s="66"/>
      <c r="D124" s="3" t="s">
        <v>3</v>
      </c>
      <c r="E124" s="3" t="s">
        <v>4</v>
      </c>
      <c r="F124" s="3" t="s">
        <v>5</v>
      </c>
      <c r="G124" s="3" t="s">
        <v>6</v>
      </c>
      <c r="H124" s="3" t="s">
        <v>3</v>
      </c>
      <c r="I124" s="3" t="s">
        <v>4</v>
      </c>
      <c r="J124" s="3" t="s">
        <v>5</v>
      </c>
      <c r="K124" s="3" t="s">
        <v>6</v>
      </c>
      <c r="L124" s="3" t="s">
        <v>3</v>
      </c>
      <c r="M124" s="3" t="s">
        <v>4</v>
      </c>
      <c r="N124" s="3" t="s">
        <v>5</v>
      </c>
      <c r="O124" s="3" t="s">
        <v>6</v>
      </c>
      <c r="P124" s="66"/>
      <c r="Q124" s="68"/>
      <c r="S124" s="6" t="s">
        <v>44</v>
      </c>
      <c r="T124" s="6">
        <v>3</v>
      </c>
      <c r="V124" s="3" t="s">
        <v>58</v>
      </c>
      <c r="W124" s="2">
        <f>SUM(D125:O125)</f>
        <v>901</v>
      </c>
      <c r="X124" s="2">
        <f>SUM(D126:O126)</f>
        <v>877</v>
      </c>
      <c r="Y124" s="2">
        <f>SUM(D127:O127)</f>
        <v>894</v>
      </c>
      <c r="Z124" s="2">
        <f>SUM(W124:Y124)</f>
        <v>2672</v>
      </c>
      <c r="AA124" s="53">
        <f>AVERAGE(W124:Y124)</f>
        <v>890.66666666666663</v>
      </c>
      <c r="AC124" s="3" t="s">
        <v>43</v>
      </c>
      <c r="AD124" s="2">
        <f>12-1</f>
        <v>11</v>
      </c>
      <c r="AE124" s="53">
        <f>T128</f>
        <v>1311.296296296292</v>
      </c>
      <c r="AF124" s="53">
        <f>AE124/AD124</f>
        <v>119.20875420875382</v>
      </c>
      <c r="AG124" s="53">
        <f>AF124/AF128</f>
        <v>0.95904325920307698</v>
      </c>
      <c r="AH124" s="53">
        <f>FINV(AH123,AD124,AD128)</f>
        <v>1.8991710184693407</v>
      </c>
      <c r="AI124" s="53">
        <f>FINV(AI123,AD124,AD128)</f>
        <v>2.4560580535880434</v>
      </c>
      <c r="AJ124" s="30" t="s">
        <v>95</v>
      </c>
      <c r="AK124" s="2"/>
      <c r="AM124" s="53" t="s">
        <v>12</v>
      </c>
      <c r="AN124" s="53">
        <v>72</v>
      </c>
      <c r="AO124" s="53" t="s">
        <v>93</v>
      </c>
      <c r="AP124" s="53">
        <f>AN124+AN117</f>
        <v>87.125564505145775</v>
      </c>
      <c r="AS124" s="3" t="s">
        <v>43</v>
      </c>
      <c r="AT124" s="2">
        <f>12-1</f>
        <v>11</v>
      </c>
      <c r="AU124" s="6">
        <f>SUMSQ(D134:O134)/(3*3)-AT133</f>
        <v>1311.296296296292</v>
      </c>
      <c r="AV124" s="53">
        <f>AU124/AT124</f>
        <v>119.20875420875382</v>
      </c>
      <c r="AW124" s="53">
        <f>AV124/AV129</f>
        <v>0.95904325920307698</v>
      </c>
      <c r="AX124" s="53">
        <f>FINV(AX123,AT124,AT129)</f>
        <v>1.8991710184693407</v>
      </c>
      <c r="AY124" s="53">
        <f>FINV(AY123,AT124,AT129)</f>
        <v>2.4560580535880434</v>
      </c>
      <c r="AZ124" s="2" t="str">
        <f>IF(AW124&gt;AY124,"**",IF(AW124&gt;AX124,"*","TN"))</f>
        <v>TN</v>
      </c>
      <c r="BA124" s="2" t="str">
        <f>IF(AZ124="TN","Tidak Nyata",IF(AZ124="*","Nyata",IF(AZ124="**","Sangat Nyata",0)))</f>
        <v>Tidak Nyata</v>
      </c>
    </row>
    <row r="125" spans="1:53" ht="15.5" x14ac:dyDescent="0.3">
      <c r="A125" s="73"/>
      <c r="B125" s="75"/>
      <c r="C125" s="2" t="s">
        <v>9</v>
      </c>
      <c r="D125" s="4">
        <v>80</v>
      </c>
      <c r="E125" s="4">
        <v>72</v>
      </c>
      <c r="F125" s="4">
        <v>87</v>
      </c>
      <c r="G125" s="4">
        <v>82</v>
      </c>
      <c r="H125" s="4">
        <v>50</v>
      </c>
      <c r="I125" s="4">
        <v>76</v>
      </c>
      <c r="J125" s="4">
        <v>81</v>
      </c>
      <c r="K125" s="4">
        <v>72</v>
      </c>
      <c r="L125" s="4">
        <v>77</v>
      </c>
      <c r="M125" s="4">
        <v>75</v>
      </c>
      <c r="N125" s="4">
        <v>68</v>
      </c>
      <c r="O125" s="4">
        <v>81</v>
      </c>
      <c r="P125" s="2">
        <f>SUM(D125:O125)</f>
        <v>901</v>
      </c>
      <c r="Q125" s="53">
        <f>AVERAGE(D125:O125)</f>
        <v>75.083333333333329</v>
      </c>
      <c r="S125" s="6" t="s">
        <v>45</v>
      </c>
      <c r="T125" s="6">
        <v>3</v>
      </c>
      <c r="V125" s="3" t="s">
        <v>59</v>
      </c>
      <c r="W125" s="2">
        <f>SUM(D128:O128)</f>
        <v>892</v>
      </c>
      <c r="X125" s="2">
        <f>SUM(D129:O129)</f>
        <v>810</v>
      </c>
      <c r="Y125" s="2">
        <f>SUM(D130:O130)</f>
        <v>795</v>
      </c>
      <c r="Z125" s="2">
        <f>SUM(W125:Y125)</f>
        <v>2497</v>
      </c>
      <c r="AA125" s="53">
        <f>AVERAGE(W125:Y125)</f>
        <v>832.33333333333337</v>
      </c>
      <c r="AC125" s="3" t="s">
        <v>45</v>
      </c>
      <c r="AD125" s="2">
        <f>3-1</f>
        <v>2</v>
      </c>
      <c r="AE125" s="53">
        <f>T129</f>
        <v>578.90740740741603</v>
      </c>
      <c r="AF125" s="53">
        <f>AE125/AD125</f>
        <v>289.45370370370802</v>
      </c>
      <c r="AG125" s="53">
        <f>AF125/AF128</f>
        <v>2.3286764905057709</v>
      </c>
      <c r="AH125" s="53">
        <f>FINV(AH123,AD125,AD128)</f>
        <v>3.1000686386371408</v>
      </c>
      <c r="AI125" s="53">
        <f>FINV(AI123,AD125,AD128)</f>
        <v>4.8547979993760721</v>
      </c>
      <c r="AJ125" s="30" t="s">
        <v>95</v>
      </c>
      <c r="AK125" s="2"/>
      <c r="AM125" s="53" t="s">
        <v>9</v>
      </c>
      <c r="AN125" s="53">
        <v>73.916666666666671</v>
      </c>
      <c r="AO125" s="53" t="s">
        <v>93</v>
      </c>
      <c r="AP125" s="53">
        <f>AN125+AN117</f>
        <v>89.042231171812446</v>
      </c>
      <c r="AS125" s="3" t="s">
        <v>98</v>
      </c>
      <c r="AT125" s="2">
        <f>3*3-1</f>
        <v>8</v>
      </c>
      <c r="AU125" s="53">
        <f>SUMSQ(P125:P133)/12-AT133</f>
        <v>16864.07407407416</v>
      </c>
      <c r="AV125" s="53">
        <f t="shared" ref="AV125:AV129" si="48">AU125/AT125</f>
        <v>2108.00925925927</v>
      </c>
      <c r="AW125" s="53">
        <f>AV125/AV129</f>
        <v>16.959090662838399</v>
      </c>
      <c r="AX125" s="53">
        <f>FINV(AX123,AT125,AT129)</f>
        <v>2.0454143150341193</v>
      </c>
      <c r="AY125" s="53">
        <f>FINV(AY123,AT125,AT129)</f>
        <v>2.720181875728696</v>
      </c>
      <c r="AZ125" s="2" t="str">
        <f>IF(AW125&gt;AY125,"**",IF(AW125&gt;AX125,"*","TN"))</f>
        <v>**</v>
      </c>
      <c r="BA125" s="2" t="str">
        <f t="shared" ref="BA125:BA128" si="49">IF(AZ125="TN","Tidak Nyata",IF(AZ125="*","Nyata",IF(AZ125="**","Sangat Nyata",0)))</f>
        <v>Sangat Nyata</v>
      </c>
    </row>
    <row r="126" spans="1:53" x14ac:dyDescent="0.3">
      <c r="A126" s="73"/>
      <c r="B126" s="75"/>
      <c r="C126" s="2" t="s">
        <v>10</v>
      </c>
      <c r="D126" s="50">
        <v>72</v>
      </c>
      <c r="E126" s="50">
        <v>73</v>
      </c>
      <c r="F126" s="50">
        <v>70</v>
      </c>
      <c r="G126" s="50">
        <v>71</v>
      </c>
      <c r="H126" s="50">
        <v>72</v>
      </c>
      <c r="I126" s="50">
        <v>76</v>
      </c>
      <c r="J126" s="50">
        <v>77</v>
      </c>
      <c r="K126" s="50">
        <v>74</v>
      </c>
      <c r="L126" s="50">
        <v>73</v>
      </c>
      <c r="M126" s="50">
        <v>75</v>
      </c>
      <c r="N126" s="50">
        <v>70</v>
      </c>
      <c r="O126" s="50">
        <v>74</v>
      </c>
      <c r="P126" s="2">
        <f t="shared" ref="P126:P134" si="50">SUM(D126:O126)</f>
        <v>877</v>
      </c>
      <c r="Q126" s="53">
        <f t="shared" ref="Q126:Q133" si="51">AVERAGE(D126:O126)</f>
        <v>73.083333333333329</v>
      </c>
      <c r="S126" s="6" t="s">
        <v>46</v>
      </c>
      <c r="T126" s="51">
        <f>(P134^2)/(12*3*3)</f>
        <v>695366.25925925921</v>
      </c>
      <c r="V126" s="3" t="s">
        <v>60</v>
      </c>
      <c r="W126" s="2">
        <f>SUM(D131:O131)</f>
        <v>1200</v>
      </c>
      <c r="X126" s="2">
        <f>SUM(D132:O132)</f>
        <v>1197</v>
      </c>
      <c r="Y126" s="2">
        <f>SUM(D133:O133)</f>
        <v>1100</v>
      </c>
      <c r="Z126" s="2">
        <f>SUM(W126:Y126)</f>
        <v>3497</v>
      </c>
      <c r="AA126" s="53">
        <f>AVERAGE(W126:Y126)</f>
        <v>1165.6666666666667</v>
      </c>
      <c r="AC126" s="3" t="s">
        <v>44</v>
      </c>
      <c r="AD126" s="2">
        <f>3-1</f>
        <v>2</v>
      </c>
      <c r="AE126" s="53">
        <f>T130</f>
        <v>15844.907407407416</v>
      </c>
      <c r="AF126" s="53">
        <f>AE126/AD126</f>
        <v>7922.453703703708</v>
      </c>
      <c r="AG126" s="53">
        <f>AF126/AF128</f>
        <v>63.736726982149378</v>
      </c>
      <c r="AH126" s="53">
        <f>FINV(AH123,AD126,AD128)</f>
        <v>3.1000686386371408</v>
      </c>
      <c r="AI126" s="53">
        <f>FINV(AI123,AD126,AD128)</f>
        <v>4.8547979993760721</v>
      </c>
      <c r="AJ126" s="3" t="s">
        <v>72</v>
      </c>
      <c r="AK126" s="2"/>
      <c r="AM126" s="53" t="s">
        <v>17</v>
      </c>
      <c r="AN126" s="53">
        <v>89.75</v>
      </c>
      <c r="AO126" s="53" t="s">
        <v>94</v>
      </c>
      <c r="AP126" s="53">
        <f>AN126+AN117</f>
        <v>104.87556450514577</v>
      </c>
      <c r="AS126" s="3" t="s">
        <v>45</v>
      </c>
      <c r="AT126" s="2">
        <f>3-1</f>
        <v>2</v>
      </c>
      <c r="AU126" s="53">
        <f>SUMSQ(W127:Y127)/(3*12)-AT133</f>
        <v>578.90740740741603</v>
      </c>
      <c r="AV126" s="53">
        <f t="shared" si="48"/>
        <v>289.45370370370802</v>
      </c>
      <c r="AW126" s="53">
        <f>AV126/AV129</f>
        <v>2.3286764905057709</v>
      </c>
      <c r="AX126" s="53">
        <f>FINV(AX123,AT126,AT129)</f>
        <v>3.1000686386371408</v>
      </c>
      <c r="AY126" s="53">
        <f>FINV(AY123,AT126,AT129)</f>
        <v>4.8547979993760721</v>
      </c>
      <c r="AZ126" s="2" t="str">
        <f>IF(AW126&gt;AY126,"**",IF(AW126&gt;AX126,"*","TN"))</f>
        <v>TN</v>
      </c>
      <c r="BA126" s="2" t="str">
        <f t="shared" si="49"/>
        <v>Tidak Nyata</v>
      </c>
    </row>
    <row r="127" spans="1:53" x14ac:dyDescent="0.3">
      <c r="A127" s="73"/>
      <c r="B127" s="75"/>
      <c r="C127" s="2" t="s">
        <v>11</v>
      </c>
      <c r="D127" s="50">
        <v>74</v>
      </c>
      <c r="E127" s="50">
        <v>75</v>
      </c>
      <c r="F127" s="50">
        <v>73</v>
      </c>
      <c r="G127" s="50">
        <v>76</v>
      </c>
      <c r="H127" s="50">
        <v>71</v>
      </c>
      <c r="I127" s="50">
        <v>70</v>
      </c>
      <c r="J127" s="50">
        <v>74</v>
      </c>
      <c r="K127" s="50">
        <v>76</v>
      </c>
      <c r="L127" s="50">
        <v>78</v>
      </c>
      <c r="M127" s="50">
        <v>80</v>
      </c>
      <c r="N127" s="50">
        <v>79</v>
      </c>
      <c r="O127" s="50">
        <v>68</v>
      </c>
      <c r="P127" s="2">
        <f t="shared" si="50"/>
        <v>894</v>
      </c>
      <c r="Q127" s="53">
        <f t="shared" si="51"/>
        <v>74.5</v>
      </c>
      <c r="S127" s="6" t="s">
        <v>47</v>
      </c>
      <c r="T127" s="51">
        <f>SUMSQ(D125:O133)-T126</f>
        <v>29113.740740740788</v>
      </c>
      <c r="V127" s="3" t="s">
        <v>33</v>
      </c>
      <c r="W127" s="2">
        <f>SUM(W124:W126)</f>
        <v>2993</v>
      </c>
      <c r="X127" s="2">
        <f>SUM(X124:X126)</f>
        <v>2884</v>
      </c>
      <c r="Y127" s="2">
        <f>SUM(Y124:Y126)</f>
        <v>2789</v>
      </c>
      <c r="Z127" s="2">
        <f>SUM(W127:Y127)</f>
        <v>8666</v>
      </c>
      <c r="AA127" s="53">
        <f>AVERAGE(W127:Y127)</f>
        <v>2888.6666666666665</v>
      </c>
      <c r="AC127" s="3" t="s">
        <v>69</v>
      </c>
      <c r="AD127" s="2">
        <f>(3-1)*(3-1)</f>
        <v>4</v>
      </c>
      <c r="AE127" s="53">
        <f>T131</f>
        <v>440.25925925932825</v>
      </c>
      <c r="AF127" s="53">
        <f>AE127/AD127</f>
        <v>110.06481481483206</v>
      </c>
      <c r="AG127" s="53">
        <f>AF127/AF128</f>
        <v>0.88547958934922189</v>
      </c>
      <c r="AH127" s="53">
        <f>FINV(AH123,AD127,AD128)</f>
        <v>2.4752774088696223</v>
      </c>
      <c r="AI127" s="53">
        <f>FINV(AI123,AD127,AD128)</f>
        <v>3.5400845421240663</v>
      </c>
      <c r="AJ127" s="30" t="s">
        <v>95</v>
      </c>
      <c r="AK127" s="2"/>
      <c r="AM127" s="53" t="s">
        <v>15</v>
      </c>
      <c r="AN127" s="53">
        <v>91.583333333333329</v>
      </c>
      <c r="AO127" s="53" t="s">
        <v>94</v>
      </c>
      <c r="AP127" s="53">
        <f>AN127+AN117</f>
        <v>106.7088978384791</v>
      </c>
      <c r="AS127" s="3" t="s">
        <v>44</v>
      </c>
      <c r="AT127" s="2">
        <f>3-1</f>
        <v>2</v>
      </c>
      <c r="AU127" s="53">
        <f>SUMSQ(Z124:Z126)/(3*12)-AT133</f>
        <v>15844.907407407416</v>
      </c>
      <c r="AV127" s="53">
        <f t="shared" si="48"/>
        <v>7922.453703703708</v>
      </c>
      <c r="AW127" s="53">
        <f>AV127/AV129</f>
        <v>63.736726982149378</v>
      </c>
      <c r="AX127" s="53">
        <f>FINV(AX123,AT127,AT129)</f>
        <v>3.1000686386371408</v>
      </c>
      <c r="AY127" s="53">
        <f>FINV(AY123,AT127,AT129)</f>
        <v>4.8547979993760721</v>
      </c>
      <c r="AZ127" s="2" t="str">
        <f>IF(AW127&gt;AY127,"**",IF(AW127&gt;AX127,"*","TN"))</f>
        <v>**</v>
      </c>
      <c r="BA127" s="2" t="str">
        <f t="shared" si="49"/>
        <v>Sangat Nyata</v>
      </c>
    </row>
    <row r="128" spans="1:53" ht="15.5" x14ac:dyDescent="0.3">
      <c r="A128" s="73"/>
      <c r="B128" s="75"/>
      <c r="C128" s="2" t="s">
        <v>12</v>
      </c>
      <c r="D128" s="4">
        <v>75</v>
      </c>
      <c r="E128" s="4">
        <v>71</v>
      </c>
      <c r="F128" s="4">
        <v>72</v>
      </c>
      <c r="G128" s="4">
        <v>73</v>
      </c>
      <c r="H128" s="4">
        <v>108</v>
      </c>
      <c r="I128" s="4">
        <v>70</v>
      </c>
      <c r="J128" s="4">
        <v>75</v>
      </c>
      <c r="K128" s="4">
        <v>78</v>
      </c>
      <c r="L128" s="4">
        <v>59</v>
      </c>
      <c r="M128" s="4">
        <v>57</v>
      </c>
      <c r="N128" s="4">
        <v>76</v>
      </c>
      <c r="O128" s="4">
        <v>78</v>
      </c>
      <c r="P128" s="2">
        <f t="shared" si="50"/>
        <v>892</v>
      </c>
      <c r="Q128" s="53">
        <f t="shared" si="51"/>
        <v>74.333333333333329</v>
      </c>
      <c r="S128" s="6" t="s">
        <v>48</v>
      </c>
      <c r="T128" s="51">
        <f>(SUMSQ(D134:O134)/(3*3))-T126</f>
        <v>1311.296296296292</v>
      </c>
      <c r="V128" s="3" t="s">
        <v>32</v>
      </c>
      <c r="W128" s="53">
        <f>AVERAGE(W124:W126)</f>
        <v>997.66666666666663</v>
      </c>
      <c r="X128" s="53">
        <f>AVERAGE(X124:X126)</f>
        <v>961.33333333333337</v>
      </c>
      <c r="Y128" s="53">
        <f>AVERAGE(Y124:Y126)</f>
        <v>929.66666666666663</v>
      </c>
      <c r="Z128" s="33"/>
      <c r="AA128" s="33"/>
      <c r="AC128" s="3" t="s">
        <v>70</v>
      </c>
      <c r="AD128" s="2">
        <f>((3*3)-1)*(12-1)</f>
        <v>88</v>
      </c>
      <c r="AE128" s="53">
        <f>T132</f>
        <v>10938.370370370336</v>
      </c>
      <c r="AF128" s="53">
        <f>AE128/AD128</f>
        <v>124.29966329966291</v>
      </c>
      <c r="AG128" s="53"/>
      <c r="AH128" s="53"/>
      <c r="AI128" s="53"/>
      <c r="AJ128" s="2"/>
      <c r="AK128" s="2"/>
      <c r="AM128" s="53" t="s">
        <v>16</v>
      </c>
      <c r="AN128" s="53">
        <v>94.166666666666671</v>
      </c>
      <c r="AO128" s="53" t="s">
        <v>94</v>
      </c>
      <c r="AP128" s="53">
        <f>AN128+AN117</f>
        <v>109.29223117181245</v>
      </c>
      <c r="AS128" s="3" t="s">
        <v>69</v>
      </c>
      <c r="AT128" s="2">
        <f>AT126*AT127</f>
        <v>4</v>
      </c>
      <c r="AU128" s="53">
        <f>AU125-AU126-AU127</f>
        <v>440.25925925932825</v>
      </c>
      <c r="AV128" s="53">
        <f t="shared" si="48"/>
        <v>110.06481481483206</v>
      </c>
      <c r="AW128" s="53">
        <f>AV128/AV129</f>
        <v>0.88547958934922189</v>
      </c>
      <c r="AX128" s="53">
        <f>FINV(AX123,AT128,AT129)</f>
        <v>2.4752774088696223</v>
      </c>
      <c r="AY128" s="53">
        <f>FINV(AY123,AT128,AT129)</f>
        <v>3.5400845421240663</v>
      </c>
      <c r="AZ128" s="2" t="str">
        <f>IF(AW128&gt;AY128,"**",IF(AW128&gt;AX128,"*","TN"))</f>
        <v>TN</v>
      </c>
      <c r="BA128" s="2" t="str">
        <f t="shared" si="49"/>
        <v>Tidak Nyata</v>
      </c>
    </row>
    <row r="129" spans="1:53" ht="15.5" x14ac:dyDescent="0.3">
      <c r="A129" s="73"/>
      <c r="B129" s="75"/>
      <c r="C129" s="2" t="s">
        <v>13</v>
      </c>
      <c r="D129" s="4">
        <v>84</v>
      </c>
      <c r="E129" s="4">
        <v>72</v>
      </c>
      <c r="F129" s="4">
        <v>71</v>
      </c>
      <c r="G129" s="4">
        <v>76</v>
      </c>
      <c r="H129" s="4">
        <v>67</v>
      </c>
      <c r="I129" s="4">
        <v>66</v>
      </c>
      <c r="J129" s="4">
        <v>76</v>
      </c>
      <c r="K129" s="4">
        <v>59</v>
      </c>
      <c r="L129" s="4">
        <v>55</v>
      </c>
      <c r="M129" s="4">
        <v>56</v>
      </c>
      <c r="N129" s="4">
        <v>58</v>
      </c>
      <c r="O129" s="4">
        <v>70</v>
      </c>
      <c r="P129" s="2">
        <f t="shared" si="50"/>
        <v>810</v>
      </c>
      <c r="Q129" s="53">
        <f t="shared" si="51"/>
        <v>67.5</v>
      </c>
      <c r="S129" s="6" t="s">
        <v>50</v>
      </c>
      <c r="T129" s="51">
        <f>(SUMSQ(W127:Y127)/(12*3))-T126</f>
        <v>578.90740740741603</v>
      </c>
      <c r="AC129" s="3" t="s">
        <v>33</v>
      </c>
      <c r="AD129" s="2">
        <f>(3*3*12)-1</f>
        <v>107</v>
      </c>
      <c r="AE129" s="53">
        <f>T127</f>
        <v>29113.740740740788</v>
      </c>
      <c r="AF129" s="53"/>
      <c r="AG129" s="53"/>
      <c r="AH129" s="53"/>
      <c r="AI129" s="53"/>
      <c r="AJ129" s="2"/>
      <c r="AK129" s="2"/>
      <c r="AM129" s="51"/>
      <c r="AN129" s="51"/>
      <c r="AO129" s="51"/>
      <c r="AP129" s="51"/>
      <c r="AS129" s="3" t="s">
        <v>70</v>
      </c>
      <c r="AT129" s="2">
        <f>AT130-AT124-AT125</f>
        <v>88</v>
      </c>
      <c r="AU129" s="53">
        <f>AU130-AU124-AU125</f>
        <v>10938.370370370336</v>
      </c>
      <c r="AV129" s="53">
        <f t="shared" si="48"/>
        <v>124.29966329966291</v>
      </c>
      <c r="AW129" s="53"/>
      <c r="AX129" s="53"/>
      <c r="AY129" s="53"/>
      <c r="AZ129" s="2"/>
      <c r="BA129" s="2"/>
    </row>
    <row r="130" spans="1:53" ht="15.5" x14ac:dyDescent="0.3">
      <c r="A130" s="73"/>
      <c r="B130" s="75"/>
      <c r="C130" s="2" t="s">
        <v>14</v>
      </c>
      <c r="D130" s="4">
        <v>69</v>
      </c>
      <c r="E130" s="4">
        <v>66</v>
      </c>
      <c r="F130" s="4">
        <v>68</v>
      </c>
      <c r="G130" s="4">
        <v>68</v>
      </c>
      <c r="H130" s="4">
        <v>91</v>
      </c>
      <c r="I130" s="4">
        <v>70</v>
      </c>
      <c r="J130" s="4">
        <v>69</v>
      </c>
      <c r="K130" s="4">
        <v>71</v>
      </c>
      <c r="L130" s="4">
        <v>52</v>
      </c>
      <c r="M130" s="4">
        <v>56</v>
      </c>
      <c r="N130" s="4">
        <v>56</v>
      </c>
      <c r="O130" s="4">
        <v>59</v>
      </c>
      <c r="P130" s="2">
        <f t="shared" si="50"/>
        <v>795</v>
      </c>
      <c r="Q130" s="53">
        <f t="shared" si="51"/>
        <v>66.25</v>
      </c>
      <c r="S130" s="6" t="s">
        <v>49</v>
      </c>
      <c r="T130" s="51">
        <f>(SUMSQ(Z124:Z126)/(12*3))-T126</f>
        <v>15844.907407407416</v>
      </c>
      <c r="AM130" s="80" t="s">
        <v>80</v>
      </c>
      <c r="AN130" s="80"/>
      <c r="AO130" s="51"/>
      <c r="AP130" s="51"/>
      <c r="AS130" s="3" t="s">
        <v>33</v>
      </c>
      <c r="AT130" s="2">
        <f>(3*3*12)-1</f>
        <v>107</v>
      </c>
      <c r="AU130" s="53">
        <f>SUMSQ(D125:O133)-AT133</f>
        <v>29113.740740740788</v>
      </c>
      <c r="AV130" s="53"/>
      <c r="AW130" s="53"/>
      <c r="AX130" s="53"/>
      <c r="AY130" s="53"/>
      <c r="AZ130" s="2"/>
      <c r="BA130" s="2"/>
    </row>
    <row r="131" spans="1:53" ht="15.5" x14ac:dyDescent="0.3">
      <c r="A131" s="73"/>
      <c r="B131" s="75"/>
      <c r="C131" s="2" t="s">
        <v>15</v>
      </c>
      <c r="D131" s="4">
        <v>112</v>
      </c>
      <c r="E131" s="4">
        <v>113</v>
      </c>
      <c r="F131" s="4">
        <v>98</v>
      </c>
      <c r="G131" s="4">
        <v>89</v>
      </c>
      <c r="H131" s="4">
        <v>80</v>
      </c>
      <c r="I131" s="4">
        <v>96</v>
      </c>
      <c r="J131" s="4">
        <v>112</v>
      </c>
      <c r="K131" s="4">
        <v>111</v>
      </c>
      <c r="L131" s="4">
        <v>101</v>
      </c>
      <c r="M131" s="4">
        <v>107</v>
      </c>
      <c r="N131" s="4">
        <v>95</v>
      </c>
      <c r="O131" s="4">
        <v>86</v>
      </c>
      <c r="P131" s="2">
        <f t="shared" si="50"/>
        <v>1200</v>
      </c>
      <c r="Q131" s="53">
        <f t="shared" si="51"/>
        <v>100</v>
      </c>
      <c r="S131" s="6" t="s">
        <v>51</v>
      </c>
      <c r="T131" s="51">
        <f>(SUMSQ(W124:Y126)/(12))-T126-T129-T130</f>
        <v>440.25925925932825</v>
      </c>
      <c r="AM131" s="53" t="s">
        <v>79</v>
      </c>
      <c r="AN131" s="53">
        <f>SQRT(AF128/12)</f>
        <v>3.2184321143954411</v>
      </c>
      <c r="AO131" s="51"/>
      <c r="AP131" s="55" t="s">
        <v>90</v>
      </c>
    </row>
    <row r="132" spans="1:53" ht="15.5" x14ac:dyDescent="0.3">
      <c r="A132" s="73"/>
      <c r="B132" s="75"/>
      <c r="C132" s="2" t="s">
        <v>16</v>
      </c>
      <c r="D132" s="4">
        <v>130</v>
      </c>
      <c r="E132" s="4">
        <v>126</v>
      </c>
      <c r="F132" s="4">
        <v>110</v>
      </c>
      <c r="G132" s="4">
        <v>98</v>
      </c>
      <c r="H132" s="4">
        <v>90</v>
      </c>
      <c r="I132" s="4">
        <v>80</v>
      </c>
      <c r="J132" s="4">
        <v>95</v>
      </c>
      <c r="K132" s="4">
        <v>96</v>
      </c>
      <c r="L132" s="4">
        <v>100</v>
      </c>
      <c r="M132" s="4">
        <v>89</v>
      </c>
      <c r="N132" s="4">
        <v>102</v>
      </c>
      <c r="O132" s="4">
        <v>81</v>
      </c>
      <c r="P132" s="2">
        <f t="shared" si="50"/>
        <v>1197</v>
      </c>
      <c r="Q132" s="53">
        <f t="shared" si="51"/>
        <v>99.75</v>
      </c>
      <c r="S132" s="6" t="s">
        <v>52</v>
      </c>
      <c r="T132" s="51">
        <f>T127-T128-T129-T130-T131</f>
        <v>10938.370370370336</v>
      </c>
      <c r="AM132" s="53" t="s">
        <v>75</v>
      </c>
      <c r="AN132" s="53">
        <v>4.46</v>
      </c>
      <c r="AO132" s="51"/>
      <c r="AP132" s="51"/>
    </row>
    <row r="133" spans="1:53" ht="15.5" x14ac:dyDescent="0.3">
      <c r="A133" s="73"/>
      <c r="B133" s="75"/>
      <c r="C133" s="2" t="s">
        <v>17</v>
      </c>
      <c r="D133" s="4">
        <v>70</v>
      </c>
      <c r="E133" s="4">
        <v>95</v>
      </c>
      <c r="F133" s="4">
        <v>118</v>
      </c>
      <c r="G133" s="4">
        <v>106</v>
      </c>
      <c r="H133" s="4">
        <v>110</v>
      </c>
      <c r="I133" s="4">
        <v>74</v>
      </c>
      <c r="J133" s="4">
        <v>69</v>
      </c>
      <c r="K133" s="4">
        <v>75</v>
      </c>
      <c r="L133" s="4">
        <v>109</v>
      </c>
      <c r="M133" s="4">
        <v>96</v>
      </c>
      <c r="N133" s="4">
        <v>93</v>
      </c>
      <c r="O133" s="4">
        <v>85</v>
      </c>
      <c r="P133" s="2">
        <f t="shared" si="50"/>
        <v>1100</v>
      </c>
      <c r="Q133" s="53">
        <f t="shared" si="51"/>
        <v>91.666666666666671</v>
      </c>
      <c r="AM133" s="53" t="s">
        <v>76</v>
      </c>
      <c r="AN133" s="54">
        <f>AN132*AN131</f>
        <v>14.354207230203667</v>
      </c>
      <c r="AO133" s="51"/>
      <c r="AP133" s="51"/>
      <c r="AS133" s="2" t="s">
        <v>46</v>
      </c>
      <c r="AT133" s="53">
        <f>P134^2/(3*3*12)</f>
        <v>695366.25925925921</v>
      </c>
    </row>
    <row r="134" spans="1:53" x14ac:dyDescent="0.3">
      <c r="A134" s="73"/>
      <c r="B134" s="75"/>
      <c r="C134" s="2" t="s">
        <v>33</v>
      </c>
      <c r="D134" s="2">
        <f>SUM(D125:D133)</f>
        <v>766</v>
      </c>
      <c r="E134" s="2">
        <f t="shared" ref="E134:O134" si="52">SUM(E125:E133)</f>
        <v>763</v>
      </c>
      <c r="F134" s="2">
        <f t="shared" si="52"/>
        <v>767</v>
      </c>
      <c r="G134" s="2">
        <f t="shared" si="52"/>
        <v>739</v>
      </c>
      <c r="H134" s="2">
        <f t="shared" si="52"/>
        <v>739</v>
      </c>
      <c r="I134" s="2">
        <f t="shared" si="52"/>
        <v>678</v>
      </c>
      <c r="J134" s="2">
        <f t="shared" si="52"/>
        <v>728</v>
      </c>
      <c r="K134" s="2">
        <f t="shared" si="52"/>
        <v>712</v>
      </c>
      <c r="L134" s="2">
        <f t="shared" si="52"/>
        <v>704</v>
      </c>
      <c r="M134" s="2">
        <f t="shared" si="52"/>
        <v>691</v>
      </c>
      <c r="N134" s="2">
        <f t="shared" si="52"/>
        <v>697</v>
      </c>
      <c r="O134" s="2">
        <f t="shared" si="52"/>
        <v>682</v>
      </c>
      <c r="P134" s="2">
        <f t="shared" si="50"/>
        <v>8666</v>
      </c>
      <c r="Q134" s="33"/>
      <c r="AM134" s="51"/>
      <c r="AN134" s="51"/>
      <c r="AO134" s="51"/>
      <c r="AP134" s="51"/>
    </row>
    <row r="135" spans="1:53" x14ac:dyDescent="0.3">
      <c r="A135" s="66"/>
      <c r="B135" s="76"/>
      <c r="C135" s="2" t="s">
        <v>32</v>
      </c>
      <c r="D135" s="53">
        <f>AVERAGE(D125:D133)</f>
        <v>85.111111111111114</v>
      </c>
      <c r="E135" s="53">
        <f t="shared" ref="E135:O135" si="53">AVERAGE(E125:E133)</f>
        <v>84.777777777777771</v>
      </c>
      <c r="F135" s="53">
        <f t="shared" si="53"/>
        <v>85.222222222222229</v>
      </c>
      <c r="G135" s="53">
        <f t="shared" si="53"/>
        <v>82.111111111111114</v>
      </c>
      <c r="H135" s="53">
        <f t="shared" si="53"/>
        <v>82.111111111111114</v>
      </c>
      <c r="I135" s="53">
        <f t="shared" si="53"/>
        <v>75.333333333333329</v>
      </c>
      <c r="J135" s="53">
        <f t="shared" si="53"/>
        <v>80.888888888888886</v>
      </c>
      <c r="K135" s="53">
        <f t="shared" si="53"/>
        <v>79.111111111111114</v>
      </c>
      <c r="L135" s="53">
        <f t="shared" si="53"/>
        <v>78.222222222222229</v>
      </c>
      <c r="M135" s="53">
        <f t="shared" si="53"/>
        <v>76.777777777777771</v>
      </c>
      <c r="N135" s="53">
        <f t="shared" si="53"/>
        <v>77.444444444444443</v>
      </c>
      <c r="O135" s="53">
        <f t="shared" si="53"/>
        <v>75.777777777777771</v>
      </c>
      <c r="P135" s="2"/>
      <c r="Q135" s="33"/>
      <c r="AM135" s="53" t="s">
        <v>81</v>
      </c>
      <c r="AN135" s="53" t="s">
        <v>32</v>
      </c>
      <c r="AO135" s="53" t="s">
        <v>67</v>
      </c>
      <c r="AP135" s="53" t="s">
        <v>77</v>
      </c>
    </row>
    <row r="136" spans="1:53" x14ac:dyDescent="0.3">
      <c r="AM136" s="53" t="s">
        <v>14</v>
      </c>
      <c r="AN136" s="53">
        <v>66.25</v>
      </c>
      <c r="AO136" s="53" t="s">
        <v>93</v>
      </c>
      <c r="AP136" s="53">
        <f>AN136+AN133</f>
        <v>80.60420723020367</v>
      </c>
    </row>
    <row r="137" spans="1:53" x14ac:dyDescent="0.3">
      <c r="AM137" s="53" t="s">
        <v>13</v>
      </c>
      <c r="AN137" s="53">
        <v>67.5</v>
      </c>
      <c r="AO137" s="53" t="s">
        <v>93</v>
      </c>
      <c r="AP137" s="53">
        <f>AN137+AN133</f>
        <v>81.85420723020367</v>
      </c>
    </row>
    <row r="138" spans="1:53" x14ac:dyDescent="0.3">
      <c r="AM138" s="53" t="s">
        <v>10</v>
      </c>
      <c r="AN138" s="53">
        <v>73.083333333333329</v>
      </c>
      <c r="AO138" s="53" t="s">
        <v>93</v>
      </c>
      <c r="AP138" s="53">
        <f>AN138+AN133</f>
        <v>87.437540563536999</v>
      </c>
    </row>
    <row r="139" spans="1:53" x14ac:dyDescent="0.3">
      <c r="AM139" s="53" t="s">
        <v>12</v>
      </c>
      <c r="AN139" s="53">
        <v>74.333333333333329</v>
      </c>
      <c r="AO139" s="53" t="s">
        <v>93</v>
      </c>
      <c r="AP139" s="53">
        <f>AN139+AN133</f>
        <v>88.687540563536999</v>
      </c>
    </row>
    <row r="140" spans="1:53" x14ac:dyDescent="0.3">
      <c r="AM140" s="53" t="s">
        <v>11</v>
      </c>
      <c r="AN140" s="53">
        <v>74.5</v>
      </c>
      <c r="AO140" s="53" t="s">
        <v>93</v>
      </c>
      <c r="AP140" s="53">
        <f>AN140+AN133</f>
        <v>88.85420723020367</v>
      </c>
    </row>
    <row r="141" spans="1:53" x14ac:dyDescent="0.3">
      <c r="AM141" s="53" t="s">
        <v>9</v>
      </c>
      <c r="AN141" s="53">
        <v>75.083333333333329</v>
      </c>
      <c r="AO141" s="53" t="s">
        <v>93</v>
      </c>
      <c r="AP141" s="53">
        <f>AN141+AN133</f>
        <v>89.437540563536999</v>
      </c>
    </row>
    <row r="142" spans="1:53" x14ac:dyDescent="0.3">
      <c r="AM142" s="53" t="s">
        <v>17</v>
      </c>
      <c r="AN142" s="53">
        <v>91.666666666666671</v>
      </c>
      <c r="AO142" s="53" t="s">
        <v>94</v>
      </c>
      <c r="AP142" s="53">
        <f>AN142+AN133</f>
        <v>106.02087389687034</v>
      </c>
    </row>
    <row r="143" spans="1:53" x14ac:dyDescent="0.3">
      <c r="AM143" s="53" t="s">
        <v>16</v>
      </c>
      <c r="AN143" s="53">
        <v>99.75</v>
      </c>
      <c r="AO143" s="53" t="s">
        <v>94</v>
      </c>
      <c r="AP143" s="53">
        <f>AN143+AN133</f>
        <v>114.10420723020367</v>
      </c>
    </row>
    <row r="144" spans="1:53" x14ac:dyDescent="0.3">
      <c r="AM144" s="53" t="s">
        <v>15</v>
      </c>
      <c r="AN144" s="53">
        <v>100</v>
      </c>
      <c r="AO144" s="53" t="s">
        <v>94</v>
      </c>
      <c r="AP144" s="53">
        <f>AN144+AN133</f>
        <v>114.35420723020367</v>
      </c>
    </row>
  </sheetData>
  <sortState xmlns:xlrd2="http://schemas.microsoft.com/office/spreadsheetml/2017/richdata2" ref="AM136:AP144">
    <sortCondition ref="AN136:AN144"/>
  </sortState>
  <mergeCells count="270">
    <mergeCell ref="AS122:AS123"/>
    <mergeCell ref="AT122:AT123"/>
    <mergeCell ref="AU122:AU123"/>
    <mergeCell ref="AV122:AV123"/>
    <mergeCell ref="AW122:AW123"/>
    <mergeCell ref="AX122:AY122"/>
    <mergeCell ref="AZ122:AZ123"/>
    <mergeCell ref="BA122:BA123"/>
    <mergeCell ref="AS92:AS93"/>
    <mergeCell ref="AT92:AT93"/>
    <mergeCell ref="AU92:AU93"/>
    <mergeCell ref="AV92:AV93"/>
    <mergeCell ref="AW92:AW93"/>
    <mergeCell ref="AX92:AY92"/>
    <mergeCell ref="AZ92:AZ93"/>
    <mergeCell ref="BA92:BA93"/>
    <mergeCell ref="AS107:AS108"/>
    <mergeCell ref="AT107:AT108"/>
    <mergeCell ref="AU107:AU108"/>
    <mergeCell ref="AV107:AV108"/>
    <mergeCell ref="AW107:AW108"/>
    <mergeCell ref="AX107:AY107"/>
    <mergeCell ref="AZ107:AZ108"/>
    <mergeCell ref="BA107:BA108"/>
    <mergeCell ref="AS62:AS63"/>
    <mergeCell ref="AT62:AT63"/>
    <mergeCell ref="AU62:AU63"/>
    <mergeCell ref="AV62:AV63"/>
    <mergeCell ref="AW62:AW63"/>
    <mergeCell ref="AX62:AY62"/>
    <mergeCell ref="AZ62:AZ63"/>
    <mergeCell ref="BA62:BA63"/>
    <mergeCell ref="AS77:AS78"/>
    <mergeCell ref="AT77:AT78"/>
    <mergeCell ref="AU77:AU78"/>
    <mergeCell ref="AV77:AV78"/>
    <mergeCell ref="AW77:AW78"/>
    <mergeCell ref="AX77:AY77"/>
    <mergeCell ref="AZ77:AZ78"/>
    <mergeCell ref="BA77:BA78"/>
    <mergeCell ref="AS32:AS33"/>
    <mergeCell ref="AT32:AT33"/>
    <mergeCell ref="AU32:AU33"/>
    <mergeCell ref="AV32:AV33"/>
    <mergeCell ref="AW32:AW33"/>
    <mergeCell ref="AX32:AY32"/>
    <mergeCell ref="AZ32:AZ33"/>
    <mergeCell ref="BA32:BA33"/>
    <mergeCell ref="AS47:AS48"/>
    <mergeCell ref="AT47:AT48"/>
    <mergeCell ref="AU47:AU48"/>
    <mergeCell ref="AV47:AV48"/>
    <mergeCell ref="AW47:AW48"/>
    <mergeCell ref="AX47:AY47"/>
    <mergeCell ref="AZ47:AZ48"/>
    <mergeCell ref="BA47:BA48"/>
    <mergeCell ref="AS2:AS3"/>
    <mergeCell ref="AT2:AT3"/>
    <mergeCell ref="AU2:AU3"/>
    <mergeCell ref="AV2:AV3"/>
    <mergeCell ref="AW2:AW3"/>
    <mergeCell ref="AX2:AY2"/>
    <mergeCell ref="AZ2:AZ3"/>
    <mergeCell ref="BA2:BA3"/>
    <mergeCell ref="AS17:AS18"/>
    <mergeCell ref="AT17:AT18"/>
    <mergeCell ref="AU17:AU18"/>
    <mergeCell ref="AV17:AV18"/>
    <mergeCell ref="AW17:AW18"/>
    <mergeCell ref="AX17:AY17"/>
    <mergeCell ref="AZ17:AZ18"/>
    <mergeCell ref="BA17:BA18"/>
    <mergeCell ref="AM2:AN2"/>
    <mergeCell ref="AM18:AN18"/>
    <mergeCell ref="AM34:AN34"/>
    <mergeCell ref="AM50:AN50"/>
    <mergeCell ref="AM66:AN66"/>
    <mergeCell ref="AM82:AN82"/>
    <mergeCell ref="AM98:AN98"/>
    <mergeCell ref="AM114:AN114"/>
    <mergeCell ref="AM130:AN130"/>
    <mergeCell ref="C62:C64"/>
    <mergeCell ref="D62:O62"/>
    <mergeCell ref="Q62:Q64"/>
    <mergeCell ref="H18:K18"/>
    <mergeCell ref="L18:O18"/>
    <mergeCell ref="D32:O32"/>
    <mergeCell ref="P32:P34"/>
    <mergeCell ref="Q32:Q34"/>
    <mergeCell ref="D47:O47"/>
    <mergeCell ref="P47:P49"/>
    <mergeCell ref="Q47:Q49"/>
    <mergeCell ref="D107:O107"/>
    <mergeCell ref="P107:P109"/>
    <mergeCell ref="Q107:Q109"/>
    <mergeCell ref="A108:A120"/>
    <mergeCell ref="B108:B120"/>
    <mergeCell ref="D108:G108"/>
    <mergeCell ref="H108:K108"/>
    <mergeCell ref="L108:O108"/>
    <mergeCell ref="C107:C109"/>
    <mergeCell ref="D122:O122"/>
    <mergeCell ref="P122:P124"/>
    <mergeCell ref="Q122:Q124"/>
    <mergeCell ref="A123:A135"/>
    <mergeCell ref="B123:B135"/>
    <mergeCell ref="D123:G123"/>
    <mergeCell ref="H123:K123"/>
    <mergeCell ref="L123:O123"/>
    <mergeCell ref="C122:C124"/>
    <mergeCell ref="P92:P94"/>
    <mergeCell ref="Q92:Q94"/>
    <mergeCell ref="A93:A105"/>
    <mergeCell ref="A63:A75"/>
    <mergeCell ref="B63:B75"/>
    <mergeCell ref="D63:G63"/>
    <mergeCell ref="H63:K63"/>
    <mergeCell ref="L63:O63"/>
    <mergeCell ref="P77:P79"/>
    <mergeCell ref="Q77:Q79"/>
    <mergeCell ref="A78:A90"/>
    <mergeCell ref="B78:B90"/>
    <mergeCell ref="D78:G78"/>
    <mergeCell ref="H78:K78"/>
    <mergeCell ref="L78:O78"/>
    <mergeCell ref="C77:C79"/>
    <mergeCell ref="B93:B105"/>
    <mergeCell ref="D93:G93"/>
    <mergeCell ref="H93:K93"/>
    <mergeCell ref="L93:O93"/>
    <mergeCell ref="D77:O77"/>
    <mergeCell ref="C92:C94"/>
    <mergeCell ref="D92:O92"/>
    <mergeCell ref="P62:P64"/>
    <mergeCell ref="A33:A45"/>
    <mergeCell ref="B33:B45"/>
    <mergeCell ref="D33:G33"/>
    <mergeCell ref="H33:K33"/>
    <mergeCell ref="L33:O33"/>
    <mergeCell ref="A48:A60"/>
    <mergeCell ref="B48:B60"/>
    <mergeCell ref="D48:G48"/>
    <mergeCell ref="H48:K48"/>
    <mergeCell ref="L48:O48"/>
    <mergeCell ref="C32:C34"/>
    <mergeCell ref="C47:C49"/>
    <mergeCell ref="V2:V3"/>
    <mergeCell ref="W2:Y2"/>
    <mergeCell ref="Z2:Z3"/>
    <mergeCell ref="AA2:AA3"/>
    <mergeCell ref="V17:V18"/>
    <mergeCell ref="W17:Y17"/>
    <mergeCell ref="Z17:Z18"/>
    <mergeCell ref="AA17:AA18"/>
    <mergeCell ref="A3:A15"/>
    <mergeCell ref="B3:B15"/>
    <mergeCell ref="Q2:Q4"/>
    <mergeCell ref="D17:O17"/>
    <mergeCell ref="P17:P19"/>
    <mergeCell ref="Q17:Q19"/>
    <mergeCell ref="A18:A30"/>
    <mergeCell ref="B18:B30"/>
    <mergeCell ref="D18:G18"/>
    <mergeCell ref="P2:P4"/>
    <mergeCell ref="C2:C4"/>
    <mergeCell ref="D2:O2"/>
    <mergeCell ref="D3:G3"/>
    <mergeCell ref="H3:K3"/>
    <mergeCell ref="L3:O3"/>
    <mergeCell ref="C17:C19"/>
    <mergeCell ref="V62:V63"/>
    <mergeCell ref="W62:Y62"/>
    <mergeCell ref="Z62:Z63"/>
    <mergeCell ref="AA62:AA63"/>
    <mergeCell ref="V32:V33"/>
    <mergeCell ref="W32:Y32"/>
    <mergeCell ref="Z32:Z33"/>
    <mergeCell ref="AA32:AA33"/>
    <mergeCell ref="V47:V48"/>
    <mergeCell ref="W47:Y47"/>
    <mergeCell ref="Z47:Z48"/>
    <mergeCell ref="AA47:AA48"/>
    <mergeCell ref="V107:V108"/>
    <mergeCell ref="W107:Y107"/>
    <mergeCell ref="Z107:Z108"/>
    <mergeCell ref="AA107:AA108"/>
    <mergeCell ref="V122:V123"/>
    <mergeCell ref="W122:Y122"/>
    <mergeCell ref="Z122:Z123"/>
    <mergeCell ref="AA122:AA123"/>
    <mergeCell ref="V77:V78"/>
    <mergeCell ref="W77:Y77"/>
    <mergeCell ref="Z77:Z78"/>
    <mergeCell ref="AA77:AA78"/>
    <mergeCell ref="V92:V93"/>
    <mergeCell ref="W92:Y92"/>
    <mergeCell ref="Z92:Z93"/>
    <mergeCell ref="AA92:AA93"/>
    <mergeCell ref="AH2:AI2"/>
    <mergeCell ref="AJ2:AJ3"/>
    <mergeCell ref="AK2:AK3"/>
    <mergeCell ref="AC17:AC18"/>
    <mergeCell ref="AD17:AD18"/>
    <mergeCell ref="AE17:AE18"/>
    <mergeCell ref="AF17:AF18"/>
    <mergeCell ref="AG17:AG18"/>
    <mergeCell ref="AH17:AI17"/>
    <mergeCell ref="AJ17:AJ18"/>
    <mergeCell ref="AK17:AK18"/>
    <mergeCell ref="AC2:AC3"/>
    <mergeCell ref="AD2:AD3"/>
    <mergeCell ref="AE2:AE3"/>
    <mergeCell ref="AF2:AF3"/>
    <mergeCell ref="AG2:AG3"/>
    <mergeCell ref="AH32:AI32"/>
    <mergeCell ref="AJ32:AJ33"/>
    <mergeCell ref="AK32:AK33"/>
    <mergeCell ref="AC47:AC48"/>
    <mergeCell ref="AD47:AD48"/>
    <mergeCell ref="AE47:AE48"/>
    <mergeCell ref="AF47:AF48"/>
    <mergeCell ref="AG47:AG48"/>
    <mergeCell ref="AH47:AI47"/>
    <mergeCell ref="AJ47:AJ48"/>
    <mergeCell ref="AK47:AK48"/>
    <mergeCell ref="AC32:AC33"/>
    <mergeCell ref="AD32:AD33"/>
    <mergeCell ref="AE32:AE33"/>
    <mergeCell ref="AF32:AF33"/>
    <mergeCell ref="AG32:AG33"/>
    <mergeCell ref="AH62:AI62"/>
    <mergeCell ref="AJ62:AJ63"/>
    <mergeCell ref="AK62:AK63"/>
    <mergeCell ref="AC77:AC78"/>
    <mergeCell ref="AD77:AD78"/>
    <mergeCell ref="AE77:AE78"/>
    <mergeCell ref="AF77:AF78"/>
    <mergeCell ref="AG77:AG78"/>
    <mergeCell ref="AH77:AI77"/>
    <mergeCell ref="AJ77:AJ78"/>
    <mergeCell ref="AK77:AK78"/>
    <mergeCell ref="AC62:AC63"/>
    <mergeCell ref="AD62:AD63"/>
    <mergeCell ref="AE62:AE63"/>
    <mergeCell ref="AF62:AF63"/>
    <mergeCell ref="AG62:AG63"/>
    <mergeCell ref="AH122:AI122"/>
    <mergeCell ref="AJ122:AJ123"/>
    <mergeCell ref="AK122:AK123"/>
    <mergeCell ref="AC122:AC123"/>
    <mergeCell ref="AD122:AD123"/>
    <mergeCell ref="AE122:AE123"/>
    <mergeCell ref="AF122:AF123"/>
    <mergeCell ref="AG122:AG123"/>
    <mergeCell ref="AH92:AI92"/>
    <mergeCell ref="AJ92:AJ93"/>
    <mergeCell ref="AK92:AK93"/>
    <mergeCell ref="AC107:AC108"/>
    <mergeCell ref="AD107:AD108"/>
    <mergeCell ref="AE107:AE108"/>
    <mergeCell ref="AF107:AF108"/>
    <mergeCell ref="AG107:AG108"/>
    <mergeCell ref="AH107:AI107"/>
    <mergeCell ref="AJ107:AJ108"/>
    <mergeCell ref="AK107:AK108"/>
    <mergeCell ref="AC92:AC93"/>
    <mergeCell ref="AD92:AD93"/>
    <mergeCell ref="AE92:AE93"/>
    <mergeCell ref="AF92:AF93"/>
    <mergeCell ref="AG92:AG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2479-EEC1-4F9B-ACC6-7844B8EAFF07}">
  <dimension ref="A2:BA145"/>
  <sheetViews>
    <sheetView topLeftCell="AH31" zoomScale="92" zoomScaleNormal="66" workbookViewId="0">
      <selection activeCell="AO146" sqref="AO146"/>
    </sheetView>
  </sheetViews>
  <sheetFormatPr defaultRowHeight="14" x14ac:dyDescent="0.3"/>
  <cols>
    <col min="1" max="1" width="8.7265625" style="6"/>
    <col min="2" max="2" width="17.6328125" style="6" customWidth="1"/>
    <col min="3" max="3" width="10.1796875" style="6" customWidth="1"/>
    <col min="4" max="4" width="9.1796875" style="6" customWidth="1"/>
    <col min="5" max="6" width="12.26953125" style="6" bestFit="1" customWidth="1"/>
    <col min="7" max="8" width="14.453125" style="6" bestFit="1" customWidth="1"/>
    <col min="9" max="9" width="14" style="6" bestFit="1" customWidth="1"/>
    <col min="10" max="12" width="14.453125" style="6" bestFit="1" customWidth="1"/>
    <col min="13" max="15" width="14.36328125" style="6" bestFit="1" customWidth="1"/>
    <col min="16" max="16" width="9.26953125" style="6" customWidth="1"/>
    <col min="17" max="17" width="11" style="6" customWidth="1"/>
    <col min="18" max="18" width="8.7265625" style="6"/>
    <col min="19" max="19" width="12.1796875" style="6" customWidth="1"/>
    <col min="20" max="20" width="15.7265625" style="6" customWidth="1"/>
    <col min="21" max="21" width="8.7265625" style="6"/>
    <col min="22" max="22" width="10.54296875" style="6" customWidth="1"/>
    <col min="23" max="25" width="8.81640625" style="6" bestFit="1" customWidth="1"/>
    <col min="26" max="26" width="9.453125" style="6" bestFit="1" customWidth="1"/>
    <col min="27" max="27" width="8.90625" style="6" bestFit="1" customWidth="1"/>
    <col min="28" max="28" width="8.7265625" style="6"/>
    <col min="29" max="29" width="11.36328125" style="6" customWidth="1"/>
    <col min="30" max="30" width="8.81640625" style="6" bestFit="1" customWidth="1"/>
    <col min="31" max="31" width="9.54296875" style="6" customWidth="1"/>
    <col min="32" max="32" width="8.6328125" style="6" customWidth="1"/>
    <col min="33" max="33" width="9.08984375" style="6" customWidth="1"/>
    <col min="34" max="34" width="8.7265625" style="6"/>
    <col min="35" max="36" width="8.81640625" style="6" bestFit="1" customWidth="1"/>
    <col min="37" max="37" width="22" style="6" customWidth="1"/>
    <col min="38" max="38" width="8.7265625" style="6"/>
    <col min="39" max="39" width="10.90625" style="6" customWidth="1"/>
    <col min="40" max="40" width="10.453125" style="6" customWidth="1"/>
    <col min="41" max="41" width="8.7265625" style="6"/>
    <col min="42" max="42" width="13.36328125" style="6" customWidth="1"/>
    <col min="43" max="45" width="8.7265625" style="6"/>
    <col min="46" max="46" width="12.1796875" style="6" bestFit="1" customWidth="1"/>
    <col min="47" max="47" width="14.36328125" style="6" bestFit="1" customWidth="1"/>
    <col min="48" max="52" width="8.7265625" style="6"/>
    <col min="53" max="53" width="13.7265625" style="6" bestFit="1" customWidth="1"/>
    <col min="54" max="16384" width="8.7265625" style="6"/>
  </cols>
  <sheetData>
    <row r="2" spans="1:53" ht="16.5" x14ac:dyDescent="0.35">
      <c r="A2" s="86" t="s">
        <v>19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"/>
      <c r="AS2" s="6" t="s">
        <v>97</v>
      </c>
    </row>
    <row r="3" spans="1:53" x14ac:dyDescent="0.3">
      <c r="A3" s="3" t="s">
        <v>18</v>
      </c>
      <c r="B3" s="3" t="s">
        <v>20</v>
      </c>
      <c r="C3" s="87" t="s">
        <v>0</v>
      </c>
      <c r="D3" s="69" t="s">
        <v>96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18"/>
      <c r="Q3" s="65" t="s">
        <v>32</v>
      </c>
      <c r="V3" s="65" t="s">
        <v>53</v>
      </c>
      <c r="W3" s="70" t="s">
        <v>54</v>
      </c>
      <c r="X3" s="71"/>
      <c r="Y3" s="72"/>
      <c r="Z3" s="65" t="s">
        <v>33</v>
      </c>
      <c r="AA3" s="65" t="s">
        <v>32</v>
      </c>
      <c r="AC3" s="65" t="s">
        <v>61</v>
      </c>
      <c r="AD3" s="65" t="s">
        <v>62</v>
      </c>
      <c r="AE3" s="65" t="s">
        <v>63</v>
      </c>
      <c r="AF3" s="65" t="s">
        <v>64</v>
      </c>
      <c r="AG3" s="65" t="s">
        <v>65</v>
      </c>
      <c r="AH3" s="69" t="s">
        <v>66</v>
      </c>
      <c r="AI3" s="69"/>
      <c r="AJ3" s="65" t="s">
        <v>67</v>
      </c>
      <c r="AK3" s="65" t="s">
        <v>68</v>
      </c>
      <c r="AM3" s="78" t="s">
        <v>80</v>
      </c>
      <c r="AN3" s="78"/>
      <c r="AS3" s="65" t="s">
        <v>61</v>
      </c>
      <c r="AT3" s="65" t="s">
        <v>62</v>
      </c>
      <c r="AU3" s="65" t="s">
        <v>63</v>
      </c>
      <c r="AV3" s="65" t="s">
        <v>64</v>
      </c>
      <c r="AW3" s="65" t="s">
        <v>65</v>
      </c>
      <c r="AX3" s="69" t="s">
        <v>66</v>
      </c>
      <c r="AY3" s="69"/>
      <c r="AZ3" s="65" t="s">
        <v>67</v>
      </c>
      <c r="BA3" s="65" t="s">
        <v>68</v>
      </c>
    </row>
    <row r="4" spans="1:53" ht="14.5" customHeight="1" x14ac:dyDescent="0.3">
      <c r="A4" s="65">
        <v>1</v>
      </c>
      <c r="B4" s="74" t="s">
        <v>21</v>
      </c>
      <c r="C4" s="87"/>
      <c r="D4" s="69" t="s">
        <v>2</v>
      </c>
      <c r="E4" s="69"/>
      <c r="F4" s="69"/>
      <c r="G4" s="69"/>
      <c r="H4" s="69" t="s">
        <v>7</v>
      </c>
      <c r="I4" s="69"/>
      <c r="J4" s="69"/>
      <c r="K4" s="69"/>
      <c r="L4" s="69" t="s">
        <v>8</v>
      </c>
      <c r="M4" s="69"/>
      <c r="N4" s="69"/>
      <c r="O4" s="69"/>
      <c r="P4" s="19" t="s">
        <v>33</v>
      </c>
      <c r="Q4" s="73"/>
      <c r="S4" s="6" t="s">
        <v>71</v>
      </c>
      <c r="T4" s="6">
        <v>12</v>
      </c>
      <c r="V4" s="66"/>
      <c r="W4" s="3" t="s">
        <v>55</v>
      </c>
      <c r="X4" s="3" t="s">
        <v>56</v>
      </c>
      <c r="Y4" s="3" t="s">
        <v>57</v>
      </c>
      <c r="Z4" s="66"/>
      <c r="AA4" s="66"/>
      <c r="AC4" s="66"/>
      <c r="AD4" s="66"/>
      <c r="AE4" s="66"/>
      <c r="AF4" s="66"/>
      <c r="AG4" s="66"/>
      <c r="AH4" s="42">
        <v>0.05</v>
      </c>
      <c r="AI4" s="42">
        <v>0.01</v>
      </c>
      <c r="AJ4" s="66"/>
      <c r="AK4" s="66"/>
      <c r="AM4" s="54" t="s">
        <v>74</v>
      </c>
      <c r="AN4" s="54">
        <f>SQRT(AF9/12)</f>
        <v>0.48771830272923899</v>
      </c>
      <c r="AO4" s="56"/>
      <c r="AP4" s="55" t="s">
        <v>82</v>
      </c>
      <c r="AS4" s="66"/>
      <c r="AT4" s="66"/>
      <c r="AU4" s="66"/>
      <c r="AV4" s="66"/>
      <c r="AW4" s="66"/>
      <c r="AX4" s="42">
        <v>0.05</v>
      </c>
      <c r="AY4" s="42">
        <v>0.01</v>
      </c>
      <c r="AZ4" s="66"/>
      <c r="BA4" s="66"/>
    </row>
    <row r="5" spans="1:53" x14ac:dyDescent="0.3">
      <c r="A5" s="73"/>
      <c r="B5" s="75"/>
      <c r="C5" s="87"/>
      <c r="D5" s="3" t="s">
        <v>3</v>
      </c>
      <c r="E5" s="3" t="s">
        <v>4</v>
      </c>
      <c r="F5" s="3" t="s">
        <v>5</v>
      </c>
      <c r="G5" s="3" t="s">
        <v>6</v>
      </c>
      <c r="H5" s="3" t="s">
        <v>3</v>
      </c>
      <c r="I5" s="3" t="s">
        <v>4</v>
      </c>
      <c r="J5" s="3" t="s">
        <v>5</v>
      </c>
      <c r="K5" s="3" t="s">
        <v>6</v>
      </c>
      <c r="L5" s="3" t="s">
        <v>3</v>
      </c>
      <c r="M5" s="3" t="s">
        <v>4</v>
      </c>
      <c r="N5" s="3" t="s">
        <v>5</v>
      </c>
      <c r="O5" s="3" t="s">
        <v>6</v>
      </c>
      <c r="P5" s="16"/>
      <c r="Q5" s="66"/>
      <c r="S5" s="6" t="s">
        <v>44</v>
      </c>
      <c r="T5" s="6">
        <v>3</v>
      </c>
      <c r="V5" s="3" t="s">
        <v>58</v>
      </c>
      <c r="W5" s="35">
        <f>SUM(D6:O6)</f>
        <v>318</v>
      </c>
      <c r="X5" s="35">
        <f>SUM(D7:O7)</f>
        <v>317</v>
      </c>
      <c r="Y5" s="35">
        <f>SUM(D8:O8)</f>
        <v>309</v>
      </c>
      <c r="Z5" s="35">
        <f>SUM(W5:Y5)</f>
        <v>944</v>
      </c>
      <c r="AA5" s="53">
        <f>AVERAGE(W5:Y5)</f>
        <v>314.66666666666669</v>
      </c>
      <c r="AC5" s="3" t="s">
        <v>43</v>
      </c>
      <c r="AD5" s="2">
        <f>12-1</f>
        <v>11</v>
      </c>
      <c r="AE5" s="53">
        <f>T9</f>
        <v>49.741851851838874</v>
      </c>
      <c r="AF5" s="53">
        <f>AE5/AD5</f>
        <v>4.5219865319853518</v>
      </c>
      <c r="AG5" s="53">
        <f>AF5/AF9</f>
        <v>1.5841996424418359</v>
      </c>
      <c r="AH5" s="53">
        <f>FINV(AH4,AD5,AD9)</f>
        <v>1.8991710184693407</v>
      </c>
      <c r="AI5" s="53">
        <f>FINV(AI4,AD5,AD9)</f>
        <v>2.4560580535880434</v>
      </c>
      <c r="AJ5" s="30" t="s">
        <v>95</v>
      </c>
      <c r="AK5" s="2"/>
      <c r="AM5" s="53" t="s">
        <v>75</v>
      </c>
      <c r="AN5" s="54">
        <v>4.46</v>
      </c>
      <c r="AO5" s="51"/>
      <c r="AP5" s="51"/>
      <c r="AS5" s="3" t="s">
        <v>43</v>
      </c>
      <c r="AT5" s="2">
        <f>12-1</f>
        <v>11</v>
      </c>
      <c r="AU5" s="6">
        <f>SUMSQ(D15:O15)/(3*3)-AT14</f>
        <v>49.741851851838874</v>
      </c>
      <c r="AV5" s="53">
        <f>AU5/AT5</f>
        <v>4.5219865319853518</v>
      </c>
      <c r="AW5" s="53">
        <f>AV5/AV10</f>
        <v>1.5841996424418359</v>
      </c>
      <c r="AX5" s="53">
        <f>FINV(AX4,AT5,AT10)</f>
        <v>1.8991710184693407</v>
      </c>
      <c r="AY5" s="53">
        <f>FINV(AY4,AT5,AT10)</f>
        <v>2.4560580535880434</v>
      </c>
      <c r="AZ5" s="2" t="str">
        <f>IF(AW5&gt;AY5,"**",IF(AW5&gt;AX5,"*","TN"))</f>
        <v>TN</v>
      </c>
      <c r="BA5" s="2" t="str">
        <f>IF(AZ5="TN","Tidak Nyata",IF(AZ5="*","Nyata",IF(AZ5="**","Sangat Nyata",0)))</f>
        <v>Tidak Nyata</v>
      </c>
    </row>
    <row r="6" spans="1:53" ht="15.5" x14ac:dyDescent="0.3">
      <c r="A6" s="73"/>
      <c r="B6" s="75"/>
      <c r="C6" s="2" t="s">
        <v>9</v>
      </c>
      <c r="D6" s="34">
        <v>29</v>
      </c>
      <c r="E6" s="34">
        <v>26</v>
      </c>
      <c r="F6" s="34">
        <v>27</v>
      </c>
      <c r="G6" s="34">
        <v>25</v>
      </c>
      <c r="H6" s="34">
        <v>25</v>
      </c>
      <c r="I6" s="34">
        <v>27</v>
      </c>
      <c r="J6" s="34">
        <v>25</v>
      </c>
      <c r="K6" s="34">
        <v>26</v>
      </c>
      <c r="L6" s="34">
        <v>32</v>
      </c>
      <c r="M6" s="34">
        <v>23</v>
      </c>
      <c r="N6" s="34">
        <v>27</v>
      </c>
      <c r="O6" s="34">
        <v>26</v>
      </c>
      <c r="P6" s="34">
        <f>SUM(D6:O6)</f>
        <v>318</v>
      </c>
      <c r="Q6" s="53">
        <f t="shared" ref="Q6:Q14" si="0">AVERAGE(D6:O6)</f>
        <v>26.5</v>
      </c>
      <c r="S6" s="6" t="s">
        <v>45</v>
      </c>
      <c r="T6" s="6">
        <v>3</v>
      </c>
      <c r="V6" s="3" t="s">
        <v>59</v>
      </c>
      <c r="W6" s="33">
        <f>SUM(D9:O9)</f>
        <v>330.2</v>
      </c>
      <c r="X6" s="35">
        <f>SUM(D10:O10)</f>
        <v>363.00000000000006</v>
      </c>
      <c r="Y6" s="33">
        <f>SUM(D11:O11)</f>
        <v>343.7</v>
      </c>
      <c r="Z6" s="33">
        <f>SUM(W6:Y6)</f>
        <v>1036.9000000000001</v>
      </c>
      <c r="AA6" s="53">
        <f>AVERAGE(W6:Y6)</f>
        <v>345.63333333333338</v>
      </c>
      <c r="AC6" s="3" t="s">
        <v>45</v>
      </c>
      <c r="AD6" s="2">
        <f>3-1</f>
        <v>2</v>
      </c>
      <c r="AE6" s="53">
        <f>T10</f>
        <v>51.692407407419523</v>
      </c>
      <c r="AF6" s="53">
        <f>AE6/AD6</f>
        <v>25.846203703709762</v>
      </c>
      <c r="AG6" s="53">
        <f>AF6/AF9</f>
        <v>9.0547697071355397</v>
      </c>
      <c r="AH6" s="53">
        <f>FINV(AH4,AD6,AD9)</f>
        <v>3.1000686386371408</v>
      </c>
      <c r="AI6" s="53">
        <f>FINV(AI4,AD6,AD9)</f>
        <v>4.8547979993760721</v>
      </c>
      <c r="AJ6" s="30" t="s">
        <v>72</v>
      </c>
      <c r="AK6" s="2"/>
      <c r="AM6" s="53" t="s">
        <v>76</v>
      </c>
      <c r="AN6" s="54">
        <f>AN5*AN4</f>
        <v>2.1752236301724057</v>
      </c>
      <c r="AO6" s="51"/>
      <c r="AP6" s="51"/>
      <c r="AS6" s="3" t="s">
        <v>98</v>
      </c>
      <c r="AT6" s="2">
        <f>3*3-1</f>
        <v>8</v>
      </c>
      <c r="AU6" s="53">
        <f>SUMSQ(P6:P14)/12-AT14</f>
        <v>329.49907407406135</v>
      </c>
      <c r="AV6" s="53">
        <f t="shared" ref="AV6:AV10" si="1">AU6/AT6</f>
        <v>41.187384259257669</v>
      </c>
      <c r="AW6" s="53">
        <f>AV6/AV10</f>
        <v>14.4292865436694</v>
      </c>
      <c r="AX6" s="53">
        <f>FINV(AX4,AT6,AT10)</f>
        <v>2.0454143150341193</v>
      </c>
      <c r="AY6" s="53">
        <f>FINV(AY4,AT6,AT10)</f>
        <v>2.720181875728696</v>
      </c>
      <c r="AZ6" s="2" t="str">
        <f>IF(AW6&gt;AY6,"**",IF(AW6&gt;AX6,"*","TN"))</f>
        <v>**</v>
      </c>
      <c r="BA6" s="2" t="str">
        <f t="shared" ref="BA6:BA9" si="2">IF(AZ6="TN","Tidak Nyata",IF(AZ6="*","Nyata",IF(AZ6="**","Sangat Nyata",0)))</f>
        <v>Sangat Nyata</v>
      </c>
    </row>
    <row r="7" spans="1:53" ht="15.5" x14ac:dyDescent="0.3">
      <c r="A7" s="73"/>
      <c r="B7" s="75"/>
      <c r="C7" s="2" t="s">
        <v>10</v>
      </c>
      <c r="D7" s="35">
        <v>26</v>
      </c>
      <c r="E7" s="35">
        <v>27</v>
      </c>
      <c r="F7" s="35">
        <v>28</v>
      </c>
      <c r="G7" s="35">
        <v>25</v>
      </c>
      <c r="H7" s="35">
        <v>26</v>
      </c>
      <c r="I7" s="35">
        <v>27</v>
      </c>
      <c r="J7" s="35">
        <v>26</v>
      </c>
      <c r="K7" s="35">
        <v>26</v>
      </c>
      <c r="L7" s="35">
        <v>27</v>
      </c>
      <c r="M7" s="35">
        <v>26</v>
      </c>
      <c r="N7" s="35">
        <v>25</v>
      </c>
      <c r="O7" s="35">
        <v>28</v>
      </c>
      <c r="P7" s="34">
        <f t="shared" ref="P7:P15" si="3">SUM(D7:O7)</f>
        <v>317</v>
      </c>
      <c r="Q7" s="53">
        <f t="shared" si="0"/>
        <v>26.416666666666668</v>
      </c>
      <c r="S7" s="6" t="s">
        <v>46</v>
      </c>
      <c r="T7" s="51">
        <f>(P15^2)/(12*3*3)</f>
        <v>86439.52925925926</v>
      </c>
      <c r="V7" s="3" t="s">
        <v>60</v>
      </c>
      <c r="W7" s="33">
        <f>SUM(D12:O12)</f>
        <v>348.9</v>
      </c>
      <c r="X7" s="33">
        <f>SUM(D13:O13)</f>
        <v>373.4</v>
      </c>
      <c r="Y7" s="33">
        <f>SUM(D14:O14)</f>
        <v>352.2</v>
      </c>
      <c r="Z7" s="33">
        <f>SUM(W7:Y7)</f>
        <v>1074.5</v>
      </c>
      <c r="AA7" s="53">
        <f>AVERAGE(W7:Y7)</f>
        <v>358.16666666666669</v>
      </c>
      <c r="AC7" s="3" t="s">
        <v>44</v>
      </c>
      <c r="AD7" s="2">
        <f>3-1</f>
        <v>2</v>
      </c>
      <c r="AE7" s="53">
        <f>T11</f>
        <v>250.68907407407823</v>
      </c>
      <c r="AF7" s="53">
        <f>AE7/AD7</f>
        <v>125.34453703703912</v>
      </c>
      <c r="AG7" s="53">
        <f>AF7/AF9</f>
        <v>43.912287078160197</v>
      </c>
      <c r="AH7" s="53">
        <f>FINV(AH4,AD7,AD9)</f>
        <v>3.1000686386371408</v>
      </c>
      <c r="AI7" s="53">
        <f>FINV(AI4,AD7,AD9)</f>
        <v>4.8547979993760721</v>
      </c>
      <c r="AJ7" s="30" t="s">
        <v>72</v>
      </c>
      <c r="AK7" s="2"/>
      <c r="AM7" s="51"/>
      <c r="AN7" s="51"/>
      <c r="AO7" s="51"/>
      <c r="AP7" s="51"/>
      <c r="AS7" s="3" t="s">
        <v>45</v>
      </c>
      <c r="AT7" s="2">
        <f>3-1</f>
        <v>2</v>
      </c>
      <c r="AU7" s="53">
        <f>SUMSQ(W8:Y8)/(3*12)-AT14</f>
        <v>51.692407407419523</v>
      </c>
      <c r="AV7" s="53">
        <f t="shared" si="1"/>
        <v>25.846203703709762</v>
      </c>
      <c r="AW7" s="53">
        <f>AV7/AV10</f>
        <v>9.0547697071355397</v>
      </c>
      <c r="AX7" s="53">
        <f>FINV(AX4,AT7,AT10)</f>
        <v>3.1000686386371408</v>
      </c>
      <c r="AY7" s="53">
        <f>FINV(AY4,AT7,AT10)</f>
        <v>4.8547979993760721</v>
      </c>
      <c r="AZ7" s="2" t="str">
        <f>IF(AW7&gt;AY7,"**",IF(AW7&gt;AX7,"*","TN"))</f>
        <v>**</v>
      </c>
      <c r="BA7" s="2" t="str">
        <f t="shared" si="2"/>
        <v>Sangat Nyata</v>
      </c>
    </row>
    <row r="8" spans="1:53" ht="15.5" x14ac:dyDescent="0.3">
      <c r="A8" s="73"/>
      <c r="B8" s="75"/>
      <c r="C8" s="2" t="s">
        <v>11</v>
      </c>
      <c r="D8" s="35">
        <v>27</v>
      </c>
      <c r="E8" s="35">
        <v>28</v>
      </c>
      <c r="F8" s="35">
        <v>26</v>
      </c>
      <c r="G8" s="35">
        <v>26</v>
      </c>
      <c r="H8" s="35">
        <v>25</v>
      </c>
      <c r="I8" s="35">
        <v>24</v>
      </c>
      <c r="J8" s="35">
        <v>25</v>
      </c>
      <c r="K8" s="35">
        <v>26</v>
      </c>
      <c r="L8" s="35">
        <v>27</v>
      </c>
      <c r="M8" s="35">
        <v>25</v>
      </c>
      <c r="N8" s="35">
        <v>24</v>
      </c>
      <c r="O8" s="35">
        <v>26</v>
      </c>
      <c r="P8" s="34">
        <f t="shared" si="3"/>
        <v>309</v>
      </c>
      <c r="Q8" s="53">
        <f t="shared" si="0"/>
        <v>25.75</v>
      </c>
      <c r="S8" s="6" t="s">
        <v>47</v>
      </c>
      <c r="T8" s="51">
        <f>SUMSQ(D6:O14)-T7</f>
        <v>630.43074074074684</v>
      </c>
      <c r="V8" s="3" t="s">
        <v>33</v>
      </c>
      <c r="W8" s="33">
        <f>SUM(W5:W7)</f>
        <v>997.1</v>
      </c>
      <c r="X8" s="33">
        <f>SUM(X5:X7)</f>
        <v>1053.4000000000001</v>
      </c>
      <c r="Y8" s="33">
        <f>SUM(Y5:Y7)</f>
        <v>1004.9000000000001</v>
      </c>
      <c r="Z8" s="33">
        <f>SUM(W8:Y8)</f>
        <v>3055.4</v>
      </c>
      <c r="AA8" s="53">
        <f>AVERAGE(W8:Y8)</f>
        <v>1018.4666666666667</v>
      </c>
      <c r="AC8" s="3" t="s">
        <v>69</v>
      </c>
      <c r="AD8" s="2">
        <f>(3-1)*(3-1)</f>
        <v>4</v>
      </c>
      <c r="AE8" s="53">
        <f>T12</f>
        <v>27.117592592563597</v>
      </c>
      <c r="AF8" s="53">
        <f>AE8/AD8</f>
        <v>6.7793981481408991</v>
      </c>
      <c r="AG8" s="53">
        <f>AF8/AF9</f>
        <v>2.3750446946909318</v>
      </c>
      <c r="AH8" s="53">
        <f>FINV(AH4,AD8,AD9)</f>
        <v>2.4752774088696223</v>
      </c>
      <c r="AI8" s="53">
        <f>FINV(AI4,AD8,AD9)</f>
        <v>3.5400845421240663</v>
      </c>
      <c r="AJ8" s="30" t="s">
        <v>95</v>
      </c>
      <c r="AK8" s="2"/>
      <c r="AM8" s="54" t="s">
        <v>0</v>
      </c>
      <c r="AN8" s="54" t="s">
        <v>32</v>
      </c>
      <c r="AO8" s="54" t="s">
        <v>67</v>
      </c>
      <c r="AP8" s="54" t="s">
        <v>77</v>
      </c>
      <c r="AS8" s="3" t="s">
        <v>44</v>
      </c>
      <c r="AT8" s="2">
        <f>3-1</f>
        <v>2</v>
      </c>
      <c r="AU8" s="53">
        <f>SUMSQ(Z5:Z7)/(3*12)-AT14</f>
        <v>250.68907407407823</v>
      </c>
      <c r="AV8" s="53">
        <f t="shared" si="1"/>
        <v>125.34453703703912</v>
      </c>
      <c r="AW8" s="53">
        <f>AV8/AV10</f>
        <v>43.912287078160197</v>
      </c>
      <c r="AX8" s="53">
        <f>FINV(AX4,AT8,AT10)</f>
        <v>3.1000686386371408</v>
      </c>
      <c r="AY8" s="53">
        <f>FINV(AY4,AT8,AT10)</f>
        <v>4.8547979993760721</v>
      </c>
      <c r="AZ8" s="2" t="str">
        <f>IF(AW8&gt;AY8,"**",IF(AW8&gt;AX8,"*","TN"))</f>
        <v>**</v>
      </c>
      <c r="BA8" s="2" t="str">
        <f t="shared" si="2"/>
        <v>Sangat Nyata</v>
      </c>
    </row>
    <row r="9" spans="1:53" ht="15.5" x14ac:dyDescent="0.3">
      <c r="A9" s="73"/>
      <c r="B9" s="75"/>
      <c r="C9" s="2" t="s">
        <v>12</v>
      </c>
      <c r="D9" s="34">
        <v>28</v>
      </c>
      <c r="E9" s="34">
        <v>29</v>
      </c>
      <c r="F9" s="34">
        <v>26</v>
      </c>
      <c r="G9" s="34">
        <v>27</v>
      </c>
      <c r="H9" s="34">
        <v>25.8</v>
      </c>
      <c r="I9" s="34">
        <v>27</v>
      </c>
      <c r="J9" s="34">
        <v>25.9</v>
      </c>
      <c r="K9" s="34">
        <v>27</v>
      </c>
      <c r="L9" s="34">
        <v>30.8</v>
      </c>
      <c r="M9" s="34">
        <v>29</v>
      </c>
      <c r="N9" s="34">
        <v>26.7</v>
      </c>
      <c r="O9" s="34">
        <v>28</v>
      </c>
      <c r="P9" s="34">
        <f t="shared" si="3"/>
        <v>330.2</v>
      </c>
      <c r="Q9" s="53">
        <f t="shared" si="0"/>
        <v>27.516666666666666</v>
      </c>
      <c r="S9" s="6" t="s">
        <v>48</v>
      </c>
      <c r="T9" s="51">
        <f>(SUMSQ(D15:O15)/(3*3))-T7</f>
        <v>49.741851851838874</v>
      </c>
      <c r="V9" s="3" t="s">
        <v>32</v>
      </c>
      <c r="W9" s="53">
        <f>AVERAGE(W5:W7)</f>
        <v>332.36666666666667</v>
      </c>
      <c r="X9" s="53">
        <f>AVERAGE(X5:X7)</f>
        <v>351.13333333333338</v>
      </c>
      <c r="Y9" s="53">
        <f>AVERAGE(Y5:Y7)</f>
        <v>334.9666666666667</v>
      </c>
      <c r="Z9" s="33"/>
      <c r="AA9" s="53"/>
      <c r="AC9" s="3" t="s">
        <v>70</v>
      </c>
      <c r="AD9" s="2">
        <f>((3*3)-1)*(12-1)</f>
        <v>88</v>
      </c>
      <c r="AE9" s="53">
        <f>T13</f>
        <v>251.18981481484661</v>
      </c>
      <c r="AF9" s="53">
        <f>AE9/AD9</f>
        <v>2.8544297138050752</v>
      </c>
      <c r="AG9" s="53"/>
      <c r="AH9" s="53"/>
      <c r="AI9" s="53"/>
      <c r="AJ9" s="2"/>
      <c r="AK9" s="2"/>
      <c r="AM9" s="53" t="s">
        <v>11</v>
      </c>
      <c r="AN9" s="53">
        <v>25.75</v>
      </c>
      <c r="AO9" s="53" t="s">
        <v>93</v>
      </c>
      <c r="AP9" s="53">
        <f>AN9+AN6</f>
        <v>27.925223630172404</v>
      </c>
      <c r="AS9" s="3" t="s">
        <v>69</v>
      </c>
      <c r="AT9" s="2">
        <f>AT7*AT8</f>
        <v>4</v>
      </c>
      <c r="AU9" s="53">
        <f>AU6-AU7-AU8</f>
        <v>27.117592592563597</v>
      </c>
      <c r="AV9" s="53">
        <f t="shared" si="1"/>
        <v>6.7793981481408991</v>
      </c>
      <c r="AW9" s="53">
        <f>AV9/AV10</f>
        <v>2.3750446946909318</v>
      </c>
      <c r="AX9" s="53">
        <f>FINV(AX4,AT9,AT10)</f>
        <v>2.4752774088696223</v>
      </c>
      <c r="AY9" s="53">
        <f>FINV(AY4,AT9,AT10)</f>
        <v>3.5400845421240663</v>
      </c>
      <c r="AZ9" s="2" t="str">
        <f>IF(AW9&gt;AY9,"**",IF(AW9&gt;AX9,"*","TN"))</f>
        <v>TN</v>
      </c>
      <c r="BA9" s="2" t="str">
        <f t="shared" si="2"/>
        <v>Tidak Nyata</v>
      </c>
    </row>
    <row r="10" spans="1:53" ht="15.5" x14ac:dyDescent="0.3">
      <c r="A10" s="73"/>
      <c r="B10" s="75"/>
      <c r="C10" s="2" t="s">
        <v>13</v>
      </c>
      <c r="D10" s="34">
        <v>31</v>
      </c>
      <c r="E10" s="34">
        <v>29</v>
      </c>
      <c r="F10" s="34">
        <v>31.5</v>
      </c>
      <c r="G10" s="34">
        <v>26.9</v>
      </c>
      <c r="H10" s="34">
        <v>30</v>
      </c>
      <c r="I10" s="34">
        <v>32</v>
      </c>
      <c r="J10" s="34">
        <v>29.5</v>
      </c>
      <c r="K10" s="34">
        <v>28.8</v>
      </c>
      <c r="L10" s="34">
        <v>31.5</v>
      </c>
      <c r="M10" s="34">
        <v>28.8</v>
      </c>
      <c r="N10" s="34">
        <v>33</v>
      </c>
      <c r="O10" s="34">
        <v>31</v>
      </c>
      <c r="P10" s="34">
        <f t="shared" si="3"/>
        <v>363.00000000000006</v>
      </c>
      <c r="Q10" s="53">
        <f t="shared" si="0"/>
        <v>30.250000000000004</v>
      </c>
      <c r="S10" s="6" t="s">
        <v>50</v>
      </c>
      <c r="T10" s="51">
        <f>(SUMSQ(W8:Y8)/(12*3))-T7</f>
        <v>51.692407407419523</v>
      </c>
      <c r="AA10" s="51"/>
      <c r="AC10" s="3" t="s">
        <v>33</v>
      </c>
      <c r="AD10" s="2">
        <f>(3*3*12)-1</f>
        <v>107</v>
      </c>
      <c r="AE10" s="53">
        <f>T8</f>
        <v>630.43074074074684</v>
      </c>
      <c r="AF10" s="53"/>
      <c r="AG10" s="53"/>
      <c r="AH10" s="53"/>
      <c r="AI10" s="53"/>
      <c r="AJ10" s="2"/>
      <c r="AK10" s="2"/>
      <c r="AM10" s="53" t="s">
        <v>10</v>
      </c>
      <c r="AN10" s="53">
        <v>26.416666666666668</v>
      </c>
      <c r="AO10" s="53" t="s">
        <v>93</v>
      </c>
      <c r="AP10" s="53">
        <f>AN10+AN6</f>
        <v>28.591890296839075</v>
      </c>
      <c r="AS10" s="3" t="s">
        <v>70</v>
      </c>
      <c r="AT10" s="2">
        <f>AT11-AT5-AT6</f>
        <v>88</v>
      </c>
      <c r="AU10" s="53">
        <f>AU11-AU5-AU6</f>
        <v>251.18981481484661</v>
      </c>
      <c r="AV10" s="53">
        <f t="shared" si="1"/>
        <v>2.8544297138050752</v>
      </c>
      <c r="AW10" s="53"/>
      <c r="AX10" s="53"/>
      <c r="AY10" s="53"/>
      <c r="AZ10" s="2"/>
      <c r="BA10" s="2"/>
    </row>
    <row r="11" spans="1:53" ht="15.5" x14ac:dyDescent="0.3">
      <c r="A11" s="73"/>
      <c r="B11" s="75"/>
      <c r="C11" s="2" t="s">
        <v>14</v>
      </c>
      <c r="D11" s="34">
        <v>29.4</v>
      </c>
      <c r="E11" s="34">
        <v>28</v>
      </c>
      <c r="F11" s="34">
        <v>27</v>
      </c>
      <c r="G11" s="34">
        <v>25.8</v>
      </c>
      <c r="H11" s="34">
        <v>28</v>
      </c>
      <c r="I11" s="34">
        <v>26.6</v>
      </c>
      <c r="J11" s="34">
        <v>27.9</v>
      </c>
      <c r="K11" s="34">
        <v>29</v>
      </c>
      <c r="L11" s="34">
        <v>31.8</v>
      </c>
      <c r="M11" s="34">
        <v>29</v>
      </c>
      <c r="N11" s="34">
        <v>32.700000000000003</v>
      </c>
      <c r="O11" s="34">
        <v>28.5</v>
      </c>
      <c r="P11" s="34">
        <f t="shared" si="3"/>
        <v>343.7</v>
      </c>
      <c r="Q11" s="53">
        <f t="shared" si="0"/>
        <v>28.641666666666666</v>
      </c>
      <c r="S11" s="6" t="s">
        <v>49</v>
      </c>
      <c r="T11" s="51">
        <f>(SUMSQ(Z5:Z7)/(12*3))-T7</f>
        <v>250.68907407407823</v>
      </c>
      <c r="AA11" s="51"/>
      <c r="AE11" s="51"/>
      <c r="AF11" s="51"/>
      <c r="AG11" s="51"/>
      <c r="AH11" s="51"/>
      <c r="AI11" s="51"/>
      <c r="AM11" s="53" t="s">
        <v>9</v>
      </c>
      <c r="AN11" s="53">
        <v>26.5</v>
      </c>
      <c r="AO11" s="53" t="s">
        <v>99</v>
      </c>
      <c r="AP11" s="53">
        <f>AN11+AN6</f>
        <v>28.675223630172404</v>
      </c>
      <c r="AS11" s="3" t="s">
        <v>33</v>
      </c>
      <c r="AT11" s="2">
        <f>(3*3*12)-1</f>
        <v>107</v>
      </c>
      <c r="AU11" s="53">
        <f>SUMSQ(D6:O14)-AT14</f>
        <v>630.43074074074684</v>
      </c>
      <c r="AV11" s="53"/>
      <c r="AW11" s="53"/>
      <c r="AX11" s="53"/>
      <c r="AY11" s="53"/>
      <c r="AZ11" s="2"/>
      <c r="BA11" s="2"/>
    </row>
    <row r="12" spans="1:53" ht="15.5" x14ac:dyDescent="0.3">
      <c r="A12" s="73"/>
      <c r="B12" s="75"/>
      <c r="C12" s="2" t="s">
        <v>15</v>
      </c>
      <c r="D12" s="34">
        <v>30</v>
      </c>
      <c r="E12" s="34">
        <v>29</v>
      </c>
      <c r="F12" s="34">
        <v>27</v>
      </c>
      <c r="G12" s="34">
        <v>28</v>
      </c>
      <c r="H12" s="34">
        <v>27</v>
      </c>
      <c r="I12" s="34">
        <v>32.200000000000003</v>
      </c>
      <c r="J12" s="34">
        <v>31</v>
      </c>
      <c r="K12" s="34">
        <v>32</v>
      </c>
      <c r="L12" s="34">
        <v>28.7</v>
      </c>
      <c r="M12" s="34">
        <v>30</v>
      </c>
      <c r="N12" s="34">
        <v>29</v>
      </c>
      <c r="O12" s="34">
        <v>25</v>
      </c>
      <c r="P12" s="34">
        <f t="shared" si="3"/>
        <v>348.9</v>
      </c>
      <c r="Q12" s="53">
        <f t="shared" si="0"/>
        <v>29.074999999999999</v>
      </c>
      <c r="S12" s="6" t="s">
        <v>51</v>
      </c>
      <c r="T12" s="51">
        <f>(SUMSQ(W5:Y7)/(12))-T7-T10-T11</f>
        <v>27.117592592563597</v>
      </c>
      <c r="AA12" s="51"/>
      <c r="AE12" s="51"/>
      <c r="AF12" s="51"/>
      <c r="AG12" s="51"/>
      <c r="AH12" s="51"/>
      <c r="AI12" s="51"/>
      <c r="AM12" s="53" t="s">
        <v>12</v>
      </c>
      <c r="AN12" s="53">
        <v>27.516666666666666</v>
      </c>
      <c r="AO12" s="53" t="s">
        <v>100</v>
      </c>
      <c r="AP12" s="53">
        <f>AN12+AN6</f>
        <v>29.69189029683907</v>
      </c>
    </row>
    <row r="13" spans="1:53" ht="15.5" x14ac:dyDescent="0.3">
      <c r="A13" s="73"/>
      <c r="B13" s="75"/>
      <c r="C13" s="2" t="s">
        <v>16</v>
      </c>
      <c r="D13" s="34">
        <v>31.6</v>
      </c>
      <c r="E13" s="34">
        <v>31</v>
      </c>
      <c r="F13" s="34">
        <v>29</v>
      </c>
      <c r="G13" s="34">
        <v>32</v>
      </c>
      <c r="H13" s="34">
        <v>35</v>
      </c>
      <c r="I13" s="34">
        <v>29.7</v>
      </c>
      <c r="J13" s="34">
        <v>30</v>
      </c>
      <c r="K13" s="34">
        <v>31</v>
      </c>
      <c r="L13" s="34">
        <v>31.6</v>
      </c>
      <c r="M13" s="34">
        <v>32</v>
      </c>
      <c r="N13" s="34">
        <v>31</v>
      </c>
      <c r="O13" s="34">
        <v>29.5</v>
      </c>
      <c r="P13" s="34">
        <f t="shared" si="3"/>
        <v>373.4</v>
      </c>
      <c r="Q13" s="53">
        <f t="shared" si="0"/>
        <v>31.116666666666664</v>
      </c>
      <c r="S13" s="6" t="s">
        <v>52</v>
      </c>
      <c r="T13" s="51">
        <f>T8-T9-T10-T11-T12</f>
        <v>251.18981481484661</v>
      </c>
      <c r="AA13" s="51"/>
      <c r="AE13" s="51"/>
      <c r="AF13" s="51"/>
      <c r="AG13" s="51"/>
      <c r="AH13" s="51"/>
      <c r="AI13" s="51"/>
      <c r="AM13" s="53" t="s">
        <v>14</v>
      </c>
      <c r="AN13" s="53">
        <v>28.641666666666666</v>
      </c>
      <c r="AO13" s="53" t="s">
        <v>105</v>
      </c>
      <c r="AP13" s="53">
        <f>AN13+AN6</f>
        <v>30.81689029683907</v>
      </c>
    </row>
    <row r="14" spans="1:53" ht="15.5" x14ac:dyDescent="0.3">
      <c r="A14" s="73"/>
      <c r="B14" s="75"/>
      <c r="C14" s="2" t="s">
        <v>17</v>
      </c>
      <c r="D14" s="34">
        <v>27.5</v>
      </c>
      <c r="E14" s="34">
        <v>28.5</v>
      </c>
      <c r="F14" s="34">
        <v>31.3</v>
      </c>
      <c r="G14" s="34">
        <v>26.5</v>
      </c>
      <c r="H14" s="34">
        <v>31</v>
      </c>
      <c r="I14" s="34">
        <v>32</v>
      </c>
      <c r="J14" s="34">
        <v>28</v>
      </c>
      <c r="K14" s="34">
        <v>30</v>
      </c>
      <c r="L14" s="34">
        <v>28.4</v>
      </c>
      <c r="M14" s="34">
        <v>29</v>
      </c>
      <c r="N14" s="34">
        <v>28</v>
      </c>
      <c r="O14" s="34">
        <v>32</v>
      </c>
      <c r="P14" s="34">
        <f t="shared" si="3"/>
        <v>352.2</v>
      </c>
      <c r="Q14" s="53">
        <f t="shared" si="0"/>
        <v>29.349999999999998</v>
      </c>
      <c r="AA14" s="51"/>
      <c r="AE14" s="51"/>
      <c r="AF14" s="51"/>
      <c r="AG14" s="51"/>
      <c r="AH14" s="51"/>
      <c r="AI14" s="51"/>
      <c r="AM14" s="53" t="s">
        <v>15</v>
      </c>
      <c r="AN14" s="53">
        <v>29.074999999999999</v>
      </c>
      <c r="AO14" s="53" t="s">
        <v>109</v>
      </c>
      <c r="AP14" s="53">
        <f>AN14+AN6</f>
        <v>31.250223630172407</v>
      </c>
      <c r="AS14" s="2" t="s">
        <v>46</v>
      </c>
      <c r="AT14" s="53">
        <f>P15^2/(3*3*12)</f>
        <v>86439.52925925926</v>
      </c>
    </row>
    <row r="15" spans="1:53" ht="15.5" x14ac:dyDescent="0.3">
      <c r="A15" s="73"/>
      <c r="B15" s="75"/>
      <c r="C15" s="2" t="s">
        <v>33</v>
      </c>
      <c r="D15" s="34">
        <f>SUM(D6:D14)</f>
        <v>259.5</v>
      </c>
      <c r="E15" s="34">
        <f t="shared" ref="E15:O15" si="4">SUM(E6:E14)</f>
        <v>255.5</v>
      </c>
      <c r="F15" s="34">
        <f t="shared" si="4"/>
        <v>252.8</v>
      </c>
      <c r="G15" s="34">
        <f t="shared" si="4"/>
        <v>242.20000000000002</v>
      </c>
      <c r="H15" s="34">
        <f t="shared" si="4"/>
        <v>252.8</v>
      </c>
      <c r="I15" s="34">
        <f t="shared" si="4"/>
        <v>257.5</v>
      </c>
      <c r="J15" s="34">
        <f t="shared" si="4"/>
        <v>248.3</v>
      </c>
      <c r="K15" s="34">
        <f t="shared" si="4"/>
        <v>255.8</v>
      </c>
      <c r="L15" s="34">
        <f t="shared" si="4"/>
        <v>268.8</v>
      </c>
      <c r="M15" s="34">
        <f t="shared" si="4"/>
        <v>251.8</v>
      </c>
      <c r="N15" s="34">
        <f t="shared" si="4"/>
        <v>256.39999999999998</v>
      </c>
      <c r="O15" s="34">
        <f t="shared" si="4"/>
        <v>254</v>
      </c>
      <c r="P15" s="34">
        <f t="shared" si="3"/>
        <v>3055.4</v>
      </c>
      <c r="Q15" s="53"/>
      <c r="AA15" s="51"/>
      <c r="AE15" s="51"/>
      <c r="AF15" s="51"/>
      <c r="AG15" s="51"/>
      <c r="AH15" s="51"/>
      <c r="AI15" s="51"/>
      <c r="AM15" s="53" t="s">
        <v>17</v>
      </c>
      <c r="AN15" s="53">
        <v>29.349999999999998</v>
      </c>
      <c r="AO15" s="53" t="s">
        <v>109</v>
      </c>
      <c r="AP15" s="53">
        <f>AN15+AN6</f>
        <v>31.525223630172405</v>
      </c>
    </row>
    <row r="16" spans="1:53" ht="15.5" x14ac:dyDescent="0.3">
      <c r="A16" s="66"/>
      <c r="B16" s="76"/>
      <c r="C16" s="2" t="s">
        <v>32</v>
      </c>
      <c r="D16" s="24">
        <f>AVERAGE(D6:D14)</f>
        <v>28.833333333333332</v>
      </c>
      <c r="E16" s="24">
        <f t="shared" ref="E16:O16" si="5">AVERAGE(E6:E14)</f>
        <v>28.388888888888889</v>
      </c>
      <c r="F16" s="24">
        <f t="shared" si="5"/>
        <v>28.088888888888889</v>
      </c>
      <c r="G16" s="24">
        <f t="shared" si="5"/>
        <v>26.911111111111111</v>
      </c>
      <c r="H16" s="24">
        <f t="shared" si="5"/>
        <v>28.088888888888889</v>
      </c>
      <c r="I16" s="24">
        <f t="shared" si="5"/>
        <v>28.611111111111111</v>
      </c>
      <c r="J16" s="24">
        <f t="shared" si="5"/>
        <v>27.588888888888889</v>
      </c>
      <c r="K16" s="24">
        <f t="shared" si="5"/>
        <v>28.422222222222224</v>
      </c>
      <c r="L16" s="24">
        <f t="shared" si="5"/>
        <v>29.866666666666667</v>
      </c>
      <c r="M16" s="24">
        <f t="shared" si="5"/>
        <v>27.977777777777778</v>
      </c>
      <c r="N16" s="24">
        <f t="shared" si="5"/>
        <v>28.488888888888887</v>
      </c>
      <c r="O16" s="24">
        <f t="shared" si="5"/>
        <v>28.222222222222221</v>
      </c>
      <c r="P16" s="25"/>
      <c r="Q16" s="53"/>
      <c r="AA16" s="51"/>
      <c r="AE16" s="51"/>
      <c r="AF16" s="51"/>
      <c r="AG16" s="51"/>
      <c r="AH16" s="51"/>
      <c r="AI16" s="51"/>
      <c r="AM16" s="53" t="s">
        <v>13</v>
      </c>
      <c r="AN16" s="53">
        <v>30.250000000000004</v>
      </c>
      <c r="AO16" s="53" t="s">
        <v>110</v>
      </c>
      <c r="AP16" s="53">
        <f>AN16+AN6</f>
        <v>32.425223630172411</v>
      </c>
    </row>
    <row r="17" spans="1:53" ht="15.5" x14ac:dyDescent="0.3">
      <c r="A17" s="5"/>
      <c r="B17" s="5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51"/>
      <c r="AA17" s="51"/>
      <c r="AE17" s="51"/>
      <c r="AF17" s="51"/>
      <c r="AG17" s="51"/>
      <c r="AH17" s="51"/>
      <c r="AI17" s="51"/>
      <c r="AM17" s="53" t="s">
        <v>16</v>
      </c>
      <c r="AN17" s="53">
        <v>31.116666666666664</v>
      </c>
      <c r="AO17" s="53" t="s">
        <v>104</v>
      </c>
      <c r="AP17" s="53">
        <f>AN17+AN6</f>
        <v>33.291890296839071</v>
      </c>
    </row>
    <row r="18" spans="1:53" x14ac:dyDescent="0.3"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51"/>
      <c r="AA18" s="51"/>
      <c r="AE18" s="51"/>
      <c r="AF18" s="51"/>
      <c r="AG18" s="51"/>
      <c r="AH18" s="51"/>
      <c r="AI18" s="51"/>
      <c r="AM18" s="51"/>
      <c r="AN18" s="51"/>
      <c r="AO18" s="51"/>
      <c r="AP18" s="51"/>
      <c r="AS18" s="6" t="s">
        <v>97</v>
      </c>
    </row>
    <row r="19" spans="1:53" ht="14.5" customHeight="1" x14ac:dyDescent="0.3">
      <c r="A19" s="3" t="s">
        <v>18</v>
      </c>
      <c r="B19" s="3" t="s">
        <v>20</v>
      </c>
      <c r="C19" s="65" t="s">
        <v>0</v>
      </c>
      <c r="D19" s="88" t="s">
        <v>1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37"/>
      <c r="Q19" s="67" t="s">
        <v>32</v>
      </c>
      <c r="V19" s="65" t="s">
        <v>53</v>
      </c>
      <c r="W19" s="70" t="s">
        <v>54</v>
      </c>
      <c r="X19" s="71"/>
      <c r="Y19" s="72"/>
      <c r="Z19" s="65" t="s">
        <v>33</v>
      </c>
      <c r="AA19" s="67" t="s">
        <v>32</v>
      </c>
      <c r="AC19" s="65" t="s">
        <v>61</v>
      </c>
      <c r="AD19" s="65" t="s">
        <v>62</v>
      </c>
      <c r="AE19" s="67" t="s">
        <v>63</v>
      </c>
      <c r="AF19" s="67" t="s">
        <v>64</v>
      </c>
      <c r="AG19" s="67" t="s">
        <v>65</v>
      </c>
      <c r="AH19" s="64" t="s">
        <v>66</v>
      </c>
      <c r="AI19" s="64"/>
      <c r="AJ19" s="65" t="s">
        <v>67</v>
      </c>
      <c r="AK19" s="65" t="s">
        <v>68</v>
      </c>
      <c r="AM19" s="80" t="s">
        <v>80</v>
      </c>
      <c r="AN19" s="80"/>
      <c r="AO19" s="51"/>
      <c r="AP19" s="51"/>
      <c r="AS19" s="65" t="s">
        <v>61</v>
      </c>
      <c r="AT19" s="65" t="s">
        <v>62</v>
      </c>
      <c r="AU19" s="65" t="s">
        <v>63</v>
      </c>
      <c r="AV19" s="65" t="s">
        <v>64</v>
      </c>
      <c r="AW19" s="65" t="s">
        <v>65</v>
      </c>
      <c r="AX19" s="69" t="s">
        <v>66</v>
      </c>
      <c r="AY19" s="69"/>
      <c r="AZ19" s="65" t="s">
        <v>67</v>
      </c>
      <c r="BA19" s="65" t="s">
        <v>68</v>
      </c>
    </row>
    <row r="20" spans="1:53" ht="16" customHeight="1" x14ac:dyDescent="0.3">
      <c r="A20" s="65">
        <v>2</v>
      </c>
      <c r="B20" s="74" t="s">
        <v>22</v>
      </c>
      <c r="C20" s="73"/>
      <c r="D20" s="88" t="s">
        <v>2</v>
      </c>
      <c r="E20" s="89"/>
      <c r="F20" s="89"/>
      <c r="G20" s="90"/>
      <c r="H20" s="88" t="s">
        <v>7</v>
      </c>
      <c r="I20" s="89"/>
      <c r="J20" s="89"/>
      <c r="K20" s="90"/>
      <c r="L20" s="88" t="s">
        <v>8</v>
      </c>
      <c r="M20" s="89"/>
      <c r="N20" s="89"/>
      <c r="O20" s="90"/>
      <c r="P20" s="38" t="s">
        <v>33</v>
      </c>
      <c r="Q20" s="77"/>
      <c r="S20" s="6" t="s">
        <v>71</v>
      </c>
      <c r="T20" s="6">
        <v>12</v>
      </c>
      <c r="V20" s="66"/>
      <c r="W20" s="3" t="s">
        <v>55</v>
      </c>
      <c r="X20" s="3" t="s">
        <v>56</v>
      </c>
      <c r="Y20" s="3" t="s">
        <v>57</v>
      </c>
      <c r="Z20" s="66"/>
      <c r="AA20" s="68"/>
      <c r="AC20" s="66"/>
      <c r="AD20" s="66"/>
      <c r="AE20" s="68"/>
      <c r="AF20" s="68"/>
      <c r="AG20" s="68"/>
      <c r="AH20" s="59">
        <v>0.05</v>
      </c>
      <c r="AI20" s="59">
        <v>0.01</v>
      </c>
      <c r="AJ20" s="66"/>
      <c r="AK20" s="66"/>
      <c r="AM20" s="54" t="s">
        <v>74</v>
      </c>
      <c r="AN20" s="54">
        <f>SQRT(AF25/12)</f>
        <v>1.0969951657408177</v>
      </c>
      <c r="AO20" s="56"/>
      <c r="AP20" s="55" t="s">
        <v>83</v>
      </c>
      <c r="AS20" s="66"/>
      <c r="AT20" s="66"/>
      <c r="AU20" s="66"/>
      <c r="AV20" s="66"/>
      <c r="AW20" s="66"/>
      <c r="AX20" s="42">
        <v>0.05</v>
      </c>
      <c r="AY20" s="42">
        <v>0.01</v>
      </c>
      <c r="AZ20" s="66"/>
      <c r="BA20" s="66"/>
    </row>
    <row r="21" spans="1:53" ht="18" customHeight="1" x14ac:dyDescent="0.3">
      <c r="A21" s="73"/>
      <c r="B21" s="75"/>
      <c r="C21" s="66"/>
      <c r="D21" s="39" t="s">
        <v>3</v>
      </c>
      <c r="E21" s="39" t="s">
        <v>4</v>
      </c>
      <c r="F21" s="39" t="s">
        <v>5</v>
      </c>
      <c r="G21" s="39" t="s">
        <v>6</v>
      </c>
      <c r="H21" s="39" t="s">
        <v>3</v>
      </c>
      <c r="I21" s="39" t="s">
        <v>4</v>
      </c>
      <c r="J21" s="39" t="s">
        <v>5</v>
      </c>
      <c r="K21" s="39" t="s">
        <v>6</v>
      </c>
      <c r="L21" s="39" t="s">
        <v>3</v>
      </c>
      <c r="M21" s="39" t="s">
        <v>4</v>
      </c>
      <c r="N21" s="39" t="s">
        <v>5</v>
      </c>
      <c r="O21" s="39" t="s">
        <v>6</v>
      </c>
      <c r="P21" s="40"/>
      <c r="Q21" s="68"/>
      <c r="S21" s="6" t="s">
        <v>44</v>
      </c>
      <c r="T21" s="6">
        <v>3</v>
      </c>
      <c r="V21" s="3" t="s">
        <v>58</v>
      </c>
      <c r="W21" s="35">
        <f>SUM(D22:O22)</f>
        <v>449.3</v>
      </c>
      <c r="X21" s="35">
        <f>SUM(D23:O23)</f>
        <v>454</v>
      </c>
      <c r="Y21" s="35">
        <f>SUM(D24:O24)</f>
        <v>439</v>
      </c>
      <c r="Z21" s="35">
        <f>SUM(W21:Y21)</f>
        <v>1342.3</v>
      </c>
      <c r="AA21" s="53">
        <f>AVERAGE(W21:Y21)</f>
        <v>447.43333333333334</v>
      </c>
      <c r="AC21" s="3" t="s">
        <v>43</v>
      </c>
      <c r="AD21" s="2">
        <f>12-1</f>
        <v>11</v>
      </c>
      <c r="AE21" s="53">
        <f>T25</f>
        <v>355.6454629630316</v>
      </c>
      <c r="AF21" s="53">
        <f>AE21/AD21</f>
        <v>32.331405723911963</v>
      </c>
      <c r="AG21" s="53">
        <f>AF21/AF25</f>
        <v>2.238895967057505</v>
      </c>
      <c r="AH21" s="53">
        <f>FINV(AH20,AD21,AD25)</f>
        <v>1.8991710184693407</v>
      </c>
      <c r="AI21" s="53">
        <f>FINV(AI20,AD21,AD25)</f>
        <v>2.4560580535880434</v>
      </c>
      <c r="AJ21" s="30" t="s">
        <v>72</v>
      </c>
      <c r="AK21" s="2"/>
      <c r="AM21" s="53" t="s">
        <v>75</v>
      </c>
      <c r="AN21" s="54">
        <v>4.46</v>
      </c>
      <c r="AO21" s="51"/>
      <c r="AP21" s="51"/>
      <c r="AS21" s="3" t="s">
        <v>43</v>
      </c>
      <c r="AT21" s="2">
        <f>12-1</f>
        <v>11</v>
      </c>
      <c r="AU21" s="6">
        <f>SUMSQ(D31:O31)/(3*3)-AT30</f>
        <v>355.6454629630316</v>
      </c>
      <c r="AV21" s="53">
        <f>AU21/AT21</f>
        <v>32.331405723911963</v>
      </c>
      <c r="AW21" s="53">
        <f>AV21/AV26</f>
        <v>2.238895967057505</v>
      </c>
      <c r="AX21" s="53">
        <f>FINV(AX20,AT21,AT26)</f>
        <v>1.8991710184693407</v>
      </c>
      <c r="AY21" s="53">
        <f>FINV(AY20,AT21,AT26)</f>
        <v>2.4560580535880434</v>
      </c>
      <c r="AZ21" s="2" t="str">
        <f>IF(AW21&gt;AY21,"**",IF(AW21&gt;AX21,"*","TN"))</f>
        <v>*</v>
      </c>
      <c r="BA21" s="2" t="str">
        <f>IF(AZ21="TN","Tidak Nyata",IF(AZ21="*","Nyata",IF(AZ21="**","Sangat Nyata",0)))</f>
        <v>Nyata</v>
      </c>
    </row>
    <row r="22" spans="1:53" ht="15.5" x14ac:dyDescent="0.3">
      <c r="A22" s="73"/>
      <c r="B22" s="75"/>
      <c r="C22" s="2" t="s">
        <v>9</v>
      </c>
      <c r="D22" s="34">
        <v>40</v>
      </c>
      <c r="E22" s="34">
        <v>39</v>
      </c>
      <c r="F22" s="34">
        <v>41</v>
      </c>
      <c r="G22" s="34">
        <v>38.700000000000003</v>
      </c>
      <c r="H22" s="34">
        <v>36</v>
      </c>
      <c r="I22" s="34">
        <v>35</v>
      </c>
      <c r="J22" s="34">
        <v>39.6</v>
      </c>
      <c r="K22" s="34">
        <v>32</v>
      </c>
      <c r="L22" s="34">
        <v>36</v>
      </c>
      <c r="M22" s="34">
        <v>39</v>
      </c>
      <c r="N22" s="34">
        <v>36</v>
      </c>
      <c r="O22" s="34">
        <v>37</v>
      </c>
      <c r="P22" s="34">
        <f>SUM(D22:O22)</f>
        <v>449.3</v>
      </c>
      <c r="Q22" s="53">
        <f t="shared" ref="Q22:Q30" si="6">AVERAGE(D22:O22)</f>
        <v>37.44166666666667</v>
      </c>
      <c r="S22" s="6" t="s">
        <v>45</v>
      </c>
      <c r="T22" s="6">
        <v>3</v>
      </c>
      <c r="V22" s="3" t="s">
        <v>59</v>
      </c>
      <c r="W22" s="35">
        <f>SUM(D25:O25)</f>
        <v>560</v>
      </c>
      <c r="X22" s="35">
        <f>SUM(D26:O26)</f>
        <v>519</v>
      </c>
      <c r="Y22" s="35">
        <f>SUM(D27:O27)</f>
        <v>506</v>
      </c>
      <c r="Z22" s="35">
        <f>SUM(W22:Y22)</f>
        <v>1585</v>
      </c>
      <c r="AA22" s="53">
        <f>AVERAGE(W22:Y22)</f>
        <v>528.33333333333337</v>
      </c>
      <c r="AC22" s="3" t="s">
        <v>45</v>
      </c>
      <c r="AD22" s="2">
        <f>3-1</f>
        <v>2</v>
      </c>
      <c r="AE22" s="53">
        <f>T26</f>
        <v>155.53407407415216</v>
      </c>
      <c r="AF22" s="53">
        <f>AE22/AD22</f>
        <v>77.767037037076079</v>
      </c>
      <c r="AG22" s="53">
        <f>AF22/AF25</f>
        <v>5.3852377183695932</v>
      </c>
      <c r="AH22" s="53">
        <f>FINV(AH20,AD22,AD25)</f>
        <v>3.1000686386371408</v>
      </c>
      <c r="AI22" s="53">
        <f>FINV(AI20,AD22,AD25)</f>
        <v>4.8547979993760721</v>
      </c>
      <c r="AJ22" s="30" t="s">
        <v>72</v>
      </c>
      <c r="AK22" s="2"/>
      <c r="AM22" s="53" t="s">
        <v>76</v>
      </c>
      <c r="AN22" s="54">
        <f>AN21*AN20</f>
        <v>4.8925984392040469</v>
      </c>
      <c r="AO22" s="51"/>
      <c r="AP22" s="51"/>
      <c r="AS22" s="3" t="s">
        <v>98</v>
      </c>
      <c r="AT22" s="2">
        <f>3*3-1</f>
        <v>8</v>
      </c>
      <c r="AU22" s="53">
        <f>SUMSQ(P22:P30)/12-AT30</f>
        <v>1485.0335185186123</v>
      </c>
      <c r="AV22" s="53">
        <f t="shared" ref="AV22:AV26" si="7">AU22/AT22</f>
        <v>185.62918981482653</v>
      </c>
      <c r="AW22" s="53">
        <f>AV22/AV26</f>
        <v>12.854512049168051</v>
      </c>
      <c r="AX22" s="53">
        <f>FINV(AX20,AT22,AT26)</f>
        <v>2.0454143150341193</v>
      </c>
      <c r="AY22" s="53">
        <f>FINV(AY20,AT22,AT26)</f>
        <v>2.720181875728696</v>
      </c>
      <c r="AZ22" s="2" t="str">
        <f>IF(AW22&gt;AY22,"**",IF(AW22&gt;AX22,"*","TN"))</f>
        <v>**</v>
      </c>
      <c r="BA22" s="2" t="str">
        <f t="shared" ref="BA22:BA25" si="8">IF(AZ22="TN","Tidak Nyata",IF(AZ22="*","Nyata",IF(AZ22="**","Sangat Nyata",0)))</f>
        <v>Sangat Nyata</v>
      </c>
    </row>
    <row r="23" spans="1:53" ht="15.5" x14ac:dyDescent="0.3">
      <c r="A23" s="73"/>
      <c r="B23" s="75"/>
      <c r="C23" s="2" t="s">
        <v>10</v>
      </c>
      <c r="D23" s="35">
        <v>41</v>
      </c>
      <c r="E23" s="35">
        <v>40</v>
      </c>
      <c r="F23" s="35">
        <v>38</v>
      </c>
      <c r="G23" s="35">
        <v>36</v>
      </c>
      <c r="H23" s="35">
        <v>35</v>
      </c>
      <c r="I23" s="35">
        <v>40</v>
      </c>
      <c r="J23" s="35">
        <v>37</v>
      </c>
      <c r="K23" s="35">
        <v>38</v>
      </c>
      <c r="L23" s="35">
        <v>36</v>
      </c>
      <c r="M23" s="35">
        <v>37</v>
      </c>
      <c r="N23" s="35">
        <v>39</v>
      </c>
      <c r="O23" s="35">
        <v>37</v>
      </c>
      <c r="P23" s="34">
        <f t="shared" ref="P23:P31" si="9">SUM(D23:O23)</f>
        <v>454</v>
      </c>
      <c r="Q23" s="53">
        <f t="shared" si="6"/>
        <v>37.833333333333336</v>
      </c>
      <c r="S23" s="6" t="s">
        <v>46</v>
      </c>
      <c r="T23" s="51">
        <f>(P31^2)/(12*3*3)</f>
        <v>191462.38231481475</v>
      </c>
      <c r="V23" s="3" t="s">
        <v>60</v>
      </c>
      <c r="W23" s="35">
        <f>SUM(D28:O28)</f>
        <v>560</v>
      </c>
      <c r="X23" s="35">
        <f>SUM(D29:O29)</f>
        <v>541.5</v>
      </c>
      <c r="Y23" s="35">
        <f>SUM(D30:O30)</f>
        <v>518.5</v>
      </c>
      <c r="Z23" s="35">
        <f>SUM(W23:Y23)</f>
        <v>1620</v>
      </c>
      <c r="AA23" s="53">
        <f>AVERAGE(W23:Y23)</f>
        <v>540</v>
      </c>
      <c r="AC23" s="3" t="s">
        <v>44</v>
      </c>
      <c r="AD23" s="2">
        <f>3-1</f>
        <v>2</v>
      </c>
      <c r="AE23" s="53">
        <f>T27</f>
        <v>1270.7924074074836</v>
      </c>
      <c r="AF23" s="53">
        <f>AE23/AD23</f>
        <v>635.39620370374178</v>
      </c>
      <c r="AG23" s="53">
        <f>AF23/AF25</f>
        <v>44.000128237660476</v>
      </c>
      <c r="AH23" s="53">
        <f>FINV(AH20,AD23,AD25)</f>
        <v>3.1000686386371408</v>
      </c>
      <c r="AI23" s="53">
        <f>FINV(AI20,AD23,AD25)</f>
        <v>4.8547979993760721</v>
      </c>
      <c r="AJ23" s="30" t="s">
        <v>72</v>
      </c>
      <c r="AK23" s="2"/>
      <c r="AM23" s="51"/>
      <c r="AN23" s="51"/>
      <c r="AO23" s="51"/>
      <c r="AP23" s="51"/>
      <c r="AS23" s="3" t="s">
        <v>45</v>
      </c>
      <c r="AT23" s="2">
        <f>3-1</f>
        <v>2</v>
      </c>
      <c r="AU23" s="53">
        <f>SUMSQ(W24:Y24)/(3*12)-AT30</f>
        <v>155.53407407415216</v>
      </c>
      <c r="AV23" s="53">
        <f t="shared" si="7"/>
        <v>77.767037037076079</v>
      </c>
      <c r="AW23" s="53">
        <f>AV23/AV26</f>
        <v>5.3852377183695932</v>
      </c>
      <c r="AX23" s="53">
        <f>FINV(AX20,AT23,AT26)</f>
        <v>3.1000686386371408</v>
      </c>
      <c r="AY23" s="53">
        <f>FINV(AY20,AT23,AT26)</f>
        <v>4.8547979993760721</v>
      </c>
      <c r="AZ23" s="2" t="str">
        <f>IF(AW23&gt;AY23,"**",IF(AW23&gt;AX23,"*","TN"))</f>
        <v>**</v>
      </c>
      <c r="BA23" s="2" t="str">
        <f t="shared" si="8"/>
        <v>Sangat Nyata</v>
      </c>
    </row>
    <row r="24" spans="1:53" ht="15.5" x14ac:dyDescent="0.3">
      <c r="A24" s="73"/>
      <c r="B24" s="75"/>
      <c r="C24" s="2" t="s">
        <v>11</v>
      </c>
      <c r="D24" s="35">
        <v>39</v>
      </c>
      <c r="E24" s="35">
        <v>38</v>
      </c>
      <c r="F24" s="35">
        <v>38</v>
      </c>
      <c r="G24" s="35">
        <v>37</v>
      </c>
      <c r="H24" s="35">
        <v>35</v>
      </c>
      <c r="I24" s="35">
        <v>36</v>
      </c>
      <c r="J24" s="35">
        <v>36</v>
      </c>
      <c r="K24" s="35">
        <v>37</v>
      </c>
      <c r="L24" s="35">
        <v>35</v>
      </c>
      <c r="M24" s="35">
        <v>37</v>
      </c>
      <c r="N24" s="35">
        <v>35</v>
      </c>
      <c r="O24" s="35">
        <v>36</v>
      </c>
      <c r="P24" s="34">
        <f t="shared" si="9"/>
        <v>439</v>
      </c>
      <c r="Q24" s="53">
        <f t="shared" si="6"/>
        <v>36.583333333333336</v>
      </c>
      <c r="S24" s="6" t="s">
        <v>47</v>
      </c>
      <c r="T24" s="51">
        <f>SUMSQ(D22:O30)-T23</f>
        <v>3111.4676851852564</v>
      </c>
      <c r="V24" s="3" t="s">
        <v>33</v>
      </c>
      <c r="W24" s="35">
        <f>SUM(W21:W23)</f>
        <v>1569.3</v>
      </c>
      <c r="X24" s="35">
        <f>SUM(X21:X23)</f>
        <v>1514.5</v>
      </c>
      <c r="Y24" s="35">
        <f>SUM(Y21:Y23)</f>
        <v>1463.5</v>
      </c>
      <c r="Z24" s="35">
        <f>SUM(W24:Y24)</f>
        <v>4547.3</v>
      </c>
      <c r="AA24" s="53">
        <f>AVERAGE(W24:Y24)</f>
        <v>1515.7666666666667</v>
      </c>
      <c r="AC24" s="3" t="s">
        <v>69</v>
      </c>
      <c r="AD24" s="2">
        <f>(3-1)*(3-1)</f>
        <v>4</v>
      </c>
      <c r="AE24" s="53">
        <f>T28</f>
        <v>58.707037036976544</v>
      </c>
      <c r="AF24" s="53">
        <f>AE24/AD24</f>
        <v>14.676759259244136</v>
      </c>
      <c r="AG24" s="53">
        <f>AF24/AF25</f>
        <v>1.0163411203210655</v>
      </c>
      <c r="AH24" s="53">
        <f>FINV(AH20,AD24,AD25)</f>
        <v>2.4752774088696223</v>
      </c>
      <c r="AI24" s="53">
        <f>FINV(AI20,AD24,AD25)</f>
        <v>3.5400845421240663</v>
      </c>
      <c r="AJ24" s="30" t="s">
        <v>95</v>
      </c>
      <c r="AK24" s="2"/>
      <c r="AM24" s="54" t="s">
        <v>0</v>
      </c>
      <c r="AN24" s="54" t="s">
        <v>32</v>
      </c>
      <c r="AO24" s="54" t="s">
        <v>67</v>
      </c>
      <c r="AP24" s="54" t="s">
        <v>77</v>
      </c>
      <c r="AS24" s="3" t="s">
        <v>44</v>
      </c>
      <c r="AT24" s="2">
        <f>3-1</f>
        <v>2</v>
      </c>
      <c r="AU24" s="53">
        <f>SUMSQ(Z21:Z23)/(3*12)-AT30</f>
        <v>1270.7924074074836</v>
      </c>
      <c r="AV24" s="53">
        <f t="shared" si="7"/>
        <v>635.39620370374178</v>
      </c>
      <c r="AW24" s="53">
        <f>AV24/AV26</f>
        <v>44.000128237660476</v>
      </c>
      <c r="AX24" s="53">
        <f>FINV(AX20,AT24,AT26)</f>
        <v>3.1000686386371408</v>
      </c>
      <c r="AY24" s="53">
        <f>FINV(AY20,AT24,AT26)</f>
        <v>4.8547979993760721</v>
      </c>
      <c r="AZ24" s="2" t="str">
        <f>IF(AW24&gt;AY24,"**",IF(AW24&gt;AX24,"*","TN"))</f>
        <v>**</v>
      </c>
      <c r="BA24" s="2" t="str">
        <f t="shared" si="8"/>
        <v>Sangat Nyata</v>
      </c>
    </row>
    <row r="25" spans="1:53" ht="15.5" x14ac:dyDescent="0.3">
      <c r="A25" s="73"/>
      <c r="B25" s="75"/>
      <c r="C25" s="2" t="s">
        <v>12</v>
      </c>
      <c r="D25" s="34">
        <v>48</v>
      </c>
      <c r="E25" s="34">
        <v>40.5</v>
      </c>
      <c r="F25" s="34">
        <v>52.5</v>
      </c>
      <c r="G25" s="34">
        <v>55</v>
      </c>
      <c r="H25" s="34">
        <v>49</v>
      </c>
      <c r="I25" s="34">
        <v>46.5</v>
      </c>
      <c r="J25" s="34">
        <v>44</v>
      </c>
      <c r="K25" s="34">
        <v>44.5</v>
      </c>
      <c r="L25" s="34">
        <v>50</v>
      </c>
      <c r="M25" s="34">
        <v>45</v>
      </c>
      <c r="N25" s="34">
        <v>45</v>
      </c>
      <c r="O25" s="34">
        <v>40</v>
      </c>
      <c r="P25" s="34">
        <f t="shared" si="9"/>
        <v>560</v>
      </c>
      <c r="Q25" s="53">
        <f t="shared" si="6"/>
        <v>46.666666666666664</v>
      </c>
      <c r="S25" s="6" t="s">
        <v>48</v>
      </c>
      <c r="T25" s="51">
        <f>(SUMSQ(D31:O31)/(3*3))-T23</f>
        <v>355.6454629630316</v>
      </c>
      <c r="V25" s="3" t="s">
        <v>32</v>
      </c>
      <c r="W25" s="53">
        <f>AVERAGE(W21:W23)</f>
        <v>523.1</v>
      </c>
      <c r="X25" s="53">
        <f>AVERAGE(X21:X23)</f>
        <v>504.83333333333331</v>
      </c>
      <c r="Y25" s="53">
        <f>AVERAGE(Y21:Y23)</f>
        <v>487.83333333333331</v>
      </c>
      <c r="Z25" s="33"/>
      <c r="AA25" s="53"/>
      <c r="AC25" s="3" t="s">
        <v>70</v>
      </c>
      <c r="AD25" s="2">
        <f>((3*3)-1)*(12-1)</f>
        <v>88</v>
      </c>
      <c r="AE25" s="53">
        <f>T29</f>
        <v>1270.7887037036126</v>
      </c>
      <c r="AF25" s="53">
        <f>AE25/AD25</f>
        <v>14.440780723904687</v>
      </c>
      <c r="AG25" s="53"/>
      <c r="AH25" s="53"/>
      <c r="AI25" s="53"/>
      <c r="AJ25" s="2"/>
      <c r="AK25" s="2"/>
      <c r="AM25" s="53" t="s">
        <v>11</v>
      </c>
      <c r="AN25" s="53">
        <v>36.583333333333336</v>
      </c>
      <c r="AO25" s="53" t="s">
        <v>93</v>
      </c>
      <c r="AP25" s="53">
        <f>AN25+AN22</f>
        <v>41.475931772537379</v>
      </c>
      <c r="AS25" s="3" t="s">
        <v>69</v>
      </c>
      <c r="AT25" s="2">
        <f>AT23*AT24</f>
        <v>4</v>
      </c>
      <c r="AU25" s="53">
        <f>AU22-AU23-AU24</f>
        <v>58.707037036976544</v>
      </c>
      <c r="AV25" s="53">
        <f t="shared" si="7"/>
        <v>14.676759259244136</v>
      </c>
      <c r="AW25" s="53">
        <f>AV25/AV26</f>
        <v>1.0163411203210655</v>
      </c>
      <c r="AX25" s="53">
        <f>FINV(AX20,AT25,AT26)</f>
        <v>2.4752774088696223</v>
      </c>
      <c r="AY25" s="53">
        <f>FINV(AY20,AT25,AT26)</f>
        <v>3.5400845421240663</v>
      </c>
      <c r="AZ25" s="2" t="str">
        <f>IF(AW25&gt;AY25,"**",IF(AW25&gt;AX25,"*","TN"))</f>
        <v>TN</v>
      </c>
      <c r="BA25" s="2" t="str">
        <f t="shared" si="8"/>
        <v>Tidak Nyata</v>
      </c>
    </row>
    <row r="26" spans="1:53" ht="15.5" x14ac:dyDescent="0.3">
      <c r="A26" s="73"/>
      <c r="B26" s="75"/>
      <c r="C26" s="2" t="s">
        <v>13</v>
      </c>
      <c r="D26" s="34">
        <v>42</v>
      </c>
      <c r="E26" s="34">
        <v>36</v>
      </c>
      <c r="F26" s="34">
        <v>41.5</v>
      </c>
      <c r="G26" s="34">
        <v>49.5</v>
      </c>
      <c r="H26" s="34">
        <v>44</v>
      </c>
      <c r="I26" s="34">
        <v>45</v>
      </c>
      <c r="J26" s="34">
        <v>50.5</v>
      </c>
      <c r="K26" s="34">
        <v>42.5</v>
      </c>
      <c r="L26" s="34">
        <v>40</v>
      </c>
      <c r="M26" s="34">
        <v>46.5</v>
      </c>
      <c r="N26" s="34">
        <v>39.5</v>
      </c>
      <c r="O26" s="34">
        <v>42</v>
      </c>
      <c r="P26" s="34">
        <f t="shared" si="9"/>
        <v>519</v>
      </c>
      <c r="Q26" s="53">
        <f t="shared" si="6"/>
        <v>43.25</v>
      </c>
      <c r="S26" s="6" t="s">
        <v>50</v>
      </c>
      <c r="T26" s="51">
        <f>(SUMSQ(W24:Y24)/(12*3))-T23</f>
        <v>155.53407407415216</v>
      </c>
      <c r="W26" s="44"/>
      <c r="X26" s="44"/>
      <c r="Y26" s="44"/>
      <c r="Z26" s="44"/>
      <c r="AA26" s="51"/>
      <c r="AC26" s="3" t="s">
        <v>33</v>
      </c>
      <c r="AD26" s="2">
        <f>(3*3*12)-1</f>
        <v>107</v>
      </c>
      <c r="AE26" s="53">
        <f>T24</f>
        <v>3111.4676851852564</v>
      </c>
      <c r="AF26" s="53"/>
      <c r="AG26" s="53"/>
      <c r="AH26" s="53"/>
      <c r="AI26" s="53"/>
      <c r="AJ26" s="2"/>
      <c r="AK26" s="2"/>
      <c r="AM26" s="53" t="s">
        <v>9</v>
      </c>
      <c r="AN26" s="53">
        <v>37.44166666666667</v>
      </c>
      <c r="AO26" s="53" t="s">
        <v>99</v>
      </c>
      <c r="AP26" s="53">
        <f>AN26+AN22</f>
        <v>42.334265105870713</v>
      </c>
      <c r="AS26" s="3" t="s">
        <v>70</v>
      </c>
      <c r="AT26" s="2">
        <f>AT27-AT21-AT22</f>
        <v>88</v>
      </c>
      <c r="AU26" s="53">
        <f>AU27-AU21-AU22</f>
        <v>1270.7887037036126</v>
      </c>
      <c r="AV26" s="53">
        <f t="shared" si="7"/>
        <v>14.440780723904687</v>
      </c>
      <c r="AW26" s="53"/>
      <c r="AX26" s="53"/>
      <c r="AY26" s="53"/>
      <c r="AZ26" s="2"/>
      <c r="BA26" s="2"/>
    </row>
    <row r="27" spans="1:53" ht="15.5" x14ac:dyDescent="0.3">
      <c r="A27" s="73"/>
      <c r="B27" s="75"/>
      <c r="C27" s="2" t="s">
        <v>14</v>
      </c>
      <c r="D27" s="34">
        <v>41.5</v>
      </c>
      <c r="E27" s="34">
        <v>51</v>
      </c>
      <c r="F27" s="34">
        <v>34</v>
      </c>
      <c r="G27" s="34">
        <v>49</v>
      </c>
      <c r="H27" s="34">
        <v>43</v>
      </c>
      <c r="I27" s="34">
        <v>43</v>
      </c>
      <c r="J27" s="34">
        <v>45</v>
      </c>
      <c r="K27" s="34">
        <v>42.5</v>
      </c>
      <c r="L27" s="34">
        <v>44</v>
      </c>
      <c r="M27" s="34">
        <v>46</v>
      </c>
      <c r="N27" s="34">
        <v>39</v>
      </c>
      <c r="O27" s="34">
        <v>28</v>
      </c>
      <c r="P27" s="34">
        <f t="shared" si="9"/>
        <v>506</v>
      </c>
      <c r="Q27" s="53">
        <f t="shared" si="6"/>
        <v>42.166666666666664</v>
      </c>
      <c r="S27" s="6" t="s">
        <v>49</v>
      </c>
      <c r="T27" s="51">
        <f>(SUMSQ(Z21:Z23)/(12*3))-T23</f>
        <v>1270.7924074074836</v>
      </c>
      <c r="W27" s="44"/>
      <c r="X27" s="44"/>
      <c r="Y27" s="44"/>
      <c r="Z27" s="44"/>
      <c r="AA27" s="51"/>
      <c r="AE27" s="51"/>
      <c r="AF27" s="51"/>
      <c r="AG27" s="51"/>
      <c r="AH27" s="51"/>
      <c r="AI27" s="51"/>
      <c r="AM27" s="53" t="s">
        <v>10</v>
      </c>
      <c r="AN27" s="53">
        <v>37.833333333333336</v>
      </c>
      <c r="AO27" s="53" t="s">
        <v>99</v>
      </c>
      <c r="AP27" s="53">
        <f>AN27+AN22</f>
        <v>42.725931772537379</v>
      </c>
      <c r="AS27" s="3" t="s">
        <v>33</v>
      </c>
      <c r="AT27" s="2">
        <f>(3*3*12)-1</f>
        <v>107</v>
      </c>
      <c r="AU27" s="53">
        <f>SUMSQ(D22:O30)-AT30</f>
        <v>3111.4676851852564</v>
      </c>
      <c r="AV27" s="53"/>
      <c r="AW27" s="53"/>
      <c r="AX27" s="53"/>
      <c r="AY27" s="53"/>
      <c r="AZ27" s="2"/>
      <c r="BA27" s="2"/>
    </row>
    <row r="28" spans="1:53" ht="15.5" x14ac:dyDescent="0.3">
      <c r="A28" s="73"/>
      <c r="B28" s="75"/>
      <c r="C28" s="2" t="s">
        <v>15</v>
      </c>
      <c r="D28" s="34">
        <v>49</v>
      </c>
      <c r="E28" s="34">
        <v>52</v>
      </c>
      <c r="F28" s="34">
        <v>48</v>
      </c>
      <c r="G28" s="34">
        <v>55</v>
      </c>
      <c r="H28" s="34">
        <v>43</v>
      </c>
      <c r="I28" s="34">
        <v>46</v>
      </c>
      <c r="J28" s="34">
        <v>44</v>
      </c>
      <c r="K28" s="34">
        <v>42</v>
      </c>
      <c r="L28" s="34">
        <v>41</v>
      </c>
      <c r="M28" s="34">
        <v>44</v>
      </c>
      <c r="N28" s="34">
        <v>46</v>
      </c>
      <c r="O28" s="34">
        <v>50</v>
      </c>
      <c r="P28" s="34">
        <f t="shared" si="9"/>
        <v>560</v>
      </c>
      <c r="Q28" s="53">
        <f t="shared" si="6"/>
        <v>46.666666666666664</v>
      </c>
      <c r="S28" s="6" t="s">
        <v>51</v>
      </c>
      <c r="T28" s="51">
        <f>(SUMSQ(W21:Y23)/(12))-T23-T26-T27</f>
        <v>58.707037036976544</v>
      </c>
      <c r="W28" s="44"/>
      <c r="X28" s="44"/>
      <c r="Y28" s="44"/>
      <c r="Z28" s="44"/>
      <c r="AA28" s="51"/>
      <c r="AE28" s="51"/>
      <c r="AF28" s="51"/>
      <c r="AG28" s="51"/>
      <c r="AH28" s="51"/>
      <c r="AI28" s="51"/>
      <c r="AM28" s="53" t="s">
        <v>14</v>
      </c>
      <c r="AN28" s="53">
        <v>42.166666666666664</v>
      </c>
      <c r="AO28" s="53" t="s">
        <v>101</v>
      </c>
      <c r="AP28" s="53">
        <f>AN28+AN22</f>
        <v>47.059265105870708</v>
      </c>
    </row>
    <row r="29" spans="1:53" ht="15.5" x14ac:dyDescent="0.3">
      <c r="A29" s="73"/>
      <c r="B29" s="75"/>
      <c r="C29" s="2" t="s">
        <v>16</v>
      </c>
      <c r="D29" s="34">
        <v>41</v>
      </c>
      <c r="E29" s="34">
        <v>52</v>
      </c>
      <c r="F29" s="34">
        <v>40</v>
      </c>
      <c r="G29" s="34">
        <v>49</v>
      </c>
      <c r="H29" s="34">
        <v>44</v>
      </c>
      <c r="I29" s="34">
        <v>49</v>
      </c>
      <c r="J29" s="34">
        <v>50</v>
      </c>
      <c r="K29" s="34">
        <v>45</v>
      </c>
      <c r="L29" s="34">
        <v>40</v>
      </c>
      <c r="M29" s="34">
        <v>44.5</v>
      </c>
      <c r="N29" s="34">
        <v>43.5</v>
      </c>
      <c r="O29" s="34">
        <v>43.5</v>
      </c>
      <c r="P29" s="34">
        <f t="shared" si="9"/>
        <v>541.5</v>
      </c>
      <c r="Q29" s="53">
        <f t="shared" si="6"/>
        <v>45.125</v>
      </c>
      <c r="S29" s="6" t="s">
        <v>52</v>
      </c>
      <c r="T29" s="51">
        <f>T24-T25-T26-T27-T28</f>
        <v>1270.7887037036126</v>
      </c>
      <c r="W29" s="44"/>
      <c r="X29" s="44"/>
      <c r="Y29" s="44"/>
      <c r="Z29" s="44"/>
      <c r="AA29" s="51"/>
      <c r="AE29" s="51"/>
      <c r="AF29" s="51"/>
      <c r="AG29" s="51"/>
      <c r="AH29" s="51"/>
      <c r="AI29" s="51"/>
      <c r="AM29" s="53" t="s">
        <v>17</v>
      </c>
      <c r="AN29" s="53">
        <v>43.208333333333336</v>
      </c>
      <c r="AO29" s="53" t="s">
        <v>102</v>
      </c>
      <c r="AP29" s="53">
        <f>AN29+AN22</f>
        <v>48.100931772537379</v>
      </c>
    </row>
    <row r="30" spans="1:53" ht="15.5" x14ac:dyDescent="0.3">
      <c r="A30" s="73"/>
      <c r="B30" s="75"/>
      <c r="C30" s="2" t="s">
        <v>17</v>
      </c>
      <c r="D30" s="34">
        <v>48</v>
      </c>
      <c r="E30" s="34">
        <v>42</v>
      </c>
      <c r="F30" s="34">
        <v>35</v>
      </c>
      <c r="G30" s="34">
        <v>45</v>
      </c>
      <c r="H30" s="34">
        <v>43</v>
      </c>
      <c r="I30" s="34">
        <v>35</v>
      </c>
      <c r="J30" s="34">
        <v>52</v>
      </c>
      <c r="K30" s="34">
        <v>44</v>
      </c>
      <c r="L30" s="34">
        <v>45</v>
      </c>
      <c r="M30" s="34">
        <v>48</v>
      </c>
      <c r="N30" s="34">
        <v>40</v>
      </c>
      <c r="O30" s="34">
        <v>41.5</v>
      </c>
      <c r="P30" s="34">
        <f t="shared" si="9"/>
        <v>518.5</v>
      </c>
      <c r="Q30" s="53">
        <f t="shared" si="6"/>
        <v>43.208333333333336</v>
      </c>
      <c r="W30" s="44"/>
      <c r="X30" s="44"/>
      <c r="Y30" s="44"/>
      <c r="Z30" s="44"/>
      <c r="AA30" s="51"/>
      <c r="AE30" s="51"/>
      <c r="AF30" s="51"/>
      <c r="AG30" s="51"/>
      <c r="AH30" s="51"/>
      <c r="AI30" s="51"/>
      <c r="AM30" s="53" t="s">
        <v>13</v>
      </c>
      <c r="AN30" s="53">
        <v>43.25</v>
      </c>
      <c r="AO30" s="53" t="s">
        <v>102</v>
      </c>
      <c r="AP30" s="53">
        <f>AN30+AN22</f>
        <v>48.14259843920405</v>
      </c>
      <c r="AS30" s="2" t="s">
        <v>46</v>
      </c>
      <c r="AT30" s="53">
        <f>P31^2/(3*3*12)</f>
        <v>191462.38231481475</v>
      </c>
    </row>
    <row r="31" spans="1:53" ht="15.5" x14ac:dyDescent="0.3">
      <c r="A31" s="73"/>
      <c r="B31" s="75"/>
      <c r="C31" s="2" t="s">
        <v>33</v>
      </c>
      <c r="D31" s="34">
        <f>SUM(D22:D30)</f>
        <v>389.5</v>
      </c>
      <c r="E31" s="34">
        <f t="shared" ref="E31:O31" si="10">SUM(E22:E30)</f>
        <v>390.5</v>
      </c>
      <c r="F31" s="34">
        <f t="shared" si="10"/>
        <v>368</v>
      </c>
      <c r="G31" s="34">
        <f t="shared" si="10"/>
        <v>414.2</v>
      </c>
      <c r="H31" s="34">
        <f t="shared" si="10"/>
        <v>372</v>
      </c>
      <c r="I31" s="34">
        <f t="shared" si="10"/>
        <v>375.5</v>
      </c>
      <c r="J31" s="34">
        <f t="shared" si="10"/>
        <v>398.1</v>
      </c>
      <c r="K31" s="34">
        <f t="shared" si="10"/>
        <v>367.5</v>
      </c>
      <c r="L31" s="34">
        <f t="shared" si="10"/>
        <v>367</v>
      </c>
      <c r="M31" s="34">
        <f t="shared" si="10"/>
        <v>387</v>
      </c>
      <c r="N31" s="34">
        <f t="shared" si="10"/>
        <v>363</v>
      </c>
      <c r="O31" s="34">
        <f t="shared" si="10"/>
        <v>355</v>
      </c>
      <c r="P31" s="34">
        <f t="shared" si="9"/>
        <v>4547.2999999999993</v>
      </c>
      <c r="Q31" s="53"/>
      <c r="W31" s="44"/>
      <c r="X31" s="44"/>
      <c r="Y31" s="44"/>
      <c r="Z31" s="44"/>
      <c r="AA31" s="51"/>
      <c r="AE31" s="51"/>
      <c r="AF31" s="51"/>
      <c r="AG31" s="51"/>
      <c r="AH31" s="51"/>
      <c r="AI31" s="51"/>
      <c r="AM31" s="53" t="s">
        <v>16</v>
      </c>
      <c r="AN31" s="53">
        <v>45.125</v>
      </c>
      <c r="AO31" s="53" t="s">
        <v>102</v>
      </c>
      <c r="AP31" s="53">
        <f>AN31+AN22</f>
        <v>50.01759843920405</v>
      </c>
    </row>
    <row r="32" spans="1:53" ht="15.5" x14ac:dyDescent="0.3">
      <c r="A32" s="66"/>
      <c r="B32" s="76"/>
      <c r="C32" s="2" t="s">
        <v>32</v>
      </c>
      <c r="D32" s="24">
        <f>AVERAGE(D22:D30)</f>
        <v>43.277777777777779</v>
      </c>
      <c r="E32" s="24">
        <f t="shared" ref="E32:O32" si="11">AVERAGE(E22:E30)</f>
        <v>43.388888888888886</v>
      </c>
      <c r="F32" s="24">
        <f t="shared" si="11"/>
        <v>40.888888888888886</v>
      </c>
      <c r="G32" s="24">
        <f t="shared" si="11"/>
        <v>46.022222222222219</v>
      </c>
      <c r="H32" s="24">
        <f t="shared" si="11"/>
        <v>41.333333333333336</v>
      </c>
      <c r="I32" s="24">
        <f t="shared" si="11"/>
        <v>41.722222222222221</v>
      </c>
      <c r="J32" s="24">
        <f t="shared" si="11"/>
        <v>44.233333333333334</v>
      </c>
      <c r="K32" s="24">
        <f t="shared" si="11"/>
        <v>40.833333333333336</v>
      </c>
      <c r="L32" s="24">
        <f t="shared" si="11"/>
        <v>40.777777777777779</v>
      </c>
      <c r="M32" s="24">
        <f t="shared" si="11"/>
        <v>43</v>
      </c>
      <c r="N32" s="24">
        <f t="shared" si="11"/>
        <v>40.333333333333336</v>
      </c>
      <c r="O32" s="24">
        <f t="shared" si="11"/>
        <v>39.444444444444443</v>
      </c>
      <c r="P32" s="34"/>
      <c r="Q32" s="53"/>
      <c r="W32" s="44"/>
      <c r="X32" s="44"/>
      <c r="Y32" s="44"/>
      <c r="Z32" s="44"/>
      <c r="AA32" s="51"/>
      <c r="AE32" s="51"/>
      <c r="AF32" s="51"/>
      <c r="AG32" s="51"/>
      <c r="AH32" s="51"/>
      <c r="AI32" s="51"/>
      <c r="AM32" s="53" t="s">
        <v>12</v>
      </c>
      <c r="AN32" s="53">
        <v>46.666666666666664</v>
      </c>
      <c r="AO32" s="53" t="s">
        <v>102</v>
      </c>
      <c r="AP32" s="53">
        <f>AN32+AN22</f>
        <v>51.559265105870708</v>
      </c>
    </row>
    <row r="33" spans="1:53" ht="15.5" x14ac:dyDescent="0.3">
      <c r="A33" s="5"/>
      <c r="B33" s="5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51"/>
      <c r="W33" s="44"/>
      <c r="X33" s="44"/>
      <c r="Y33" s="44"/>
      <c r="Z33" s="44"/>
      <c r="AA33" s="51"/>
      <c r="AE33" s="51"/>
      <c r="AF33" s="51"/>
      <c r="AG33" s="51"/>
      <c r="AH33" s="51"/>
      <c r="AI33" s="51"/>
      <c r="AM33" s="53" t="s">
        <v>15</v>
      </c>
      <c r="AN33" s="53">
        <v>46.666666666666664</v>
      </c>
      <c r="AO33" s="53" t="s">
        <v>102</v>
      </c>
      <c r="AP33" s="53">
        <f>AN33+AN22</f>
        <v>51.559265105870708</v>
      </c>
    </row>
    <row r="34" spans="1:53" ht="14.5" customHeight="1" x14ac:dyDescent="0.3"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51"/>
      <c r="W34" s="44"/>
      <c r="X34" s="44"/>
      <c r="Y34" s="44"/>
      <c r="Z34" s="44"/>
      <c r="AA34" s="51"/>
      <c r="AE34" s="51"/>
      <c r="AF34" s="51"/>
      <c r="AG34" s="51"/>
      <c r="AH34" s="51"/>
      <c r="AI34" s="51"/>
      <c r="AM34" s="51"/>
      <c r="AN34" s="51"/>
      <c r="AO34" s="51"/>
      <c r="AP34" s="51"/>
      <c r="AS34" s="6" t="s">
        <v>97</v>
      </c>
    </row>
    <row r="35" spans="1:53" x14ac:dyDescent="0.3">
      <c r="A35" s="3" t="s">
        <v>18</v>
      </c>
      <c r="B35" s="3" t="s">
        <v>20</v>
      </c>
      <c r="C35" s="65" t="s">
        <v>0</v>
      </c>
      <c r="D35" s="88" t="s">
        <v>1</v>
      </c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0"/>
      <c r="P35" s="37"/>
      <c r="Q35" s="67" t="s">
        <v>32</v>
      </c>
      <c r="V35" s="65" t="s">
        <v>53</v>
      </c>
      <c r="W35" s="81" t="s">
        <v>54</v>
      </c>
      <c r="X35" s="82"/>
      <c r="Y35" s="83"/>
      <c r="Z35" s="84" t="s">
        <v>33</v>
      </c>
      <c r="AA35" s="67" t="s">
        <v>32</v>
      </c>
      <c r="AC35" s="65" t="s">
        <v>61</v>
      </c>
      <c r="AD35" s="65" t="s">
        <v>62</v>
      </c>
      <c r="AE35" s="67" t="s">
        <v>63</v>
      </c>
      <c r="AF35" s="67" t="s">
        <v>64</v>
      </c>
      <c r="AG35" s="67" t="s">
        <v>65</v>
      </c>
      <c r="AH35" s="64" t="s">
        <v>66</v>
      </c>
      <c r="AI35" s="64"/>
      <c r="AJ35" s="65" t="s">
        <v>67</v>
      </c>
      <c r="AK35" s="65" t="s">
        <v>68</v>
      </c>
      <c r="AM35" s="80" t="s">
        <v>80</v>
      </c>
      <c r="AN35" s="80"/>
      <c r="AO35" s="51"/>
      <c r="AP35" s="51"/>
      <c r="AS35" s="65" t="s">
        <v>61</v>
      </c>
      <c r="AT35" s="65" t="s">
        <v>62</v>
      </c>
      <c r="AU35" s="65" t="s">
        <v>63</v>
      </c>
      <c r="AV35" s="65" t="s">
        <v>64</v>
      </c>
      <c r="AW35" s="65" t="s">
        <v>65</v>
      </c>
      <c r="AX35" s="69" t="s">
        <v>66</v>
      </c>
      <c r="AY35" s="69"/>
      <c r="AZ35" s="65" t="s">
        <v>67</v>
      </c>
      <c r="BA35" s="65" t="s">
        <v>68</v>
      </c>
    </row>
    <row r="36" spans="1:53" ht="17.5" customHeight="1" x14ac:dyDescent="0.3">
      <c r="A36" s="65">
        <v>3</v>
      </c>
      <c r="B36" s="74" t="s">
        <v>23</v>
      </c>
      <c r="C36" s="73"/>
      <c r="D36" s="88" t="s">
        <v>2</v>
      </c>
      <c r="E36" s="89"/>
      <c r="F36" s="89"/>
      <c r="G36" s="90"/>
      <c r="H36" s="88" t="s">
        <v>7</v>
      </c>
      <c r="I36" s="89"/>
      <c r="J36" s="89"/>
      <c r="K36" s="90"/>
      <c r="L36" s="88" t="s">
        <v>8</v>
      </c>
      <c r="M36" s="89"/>
      <c r="N36" s="89"/>
      <c r="O36" s="90"/>
      <c r="P36" s="38" t="s">
        <v>33</v>
      </c>
      <c r="Q36" s="77"/>
      <c r="S36" s="6" t="s">
        <v>71</v>
      </c>
      <c r="T36" s="6">
        <v>12</v>
      </c>
      <c r="V36" s="66"/>
      <c r="W36" s="41" t="s">
        <v>55</v>
      </c>
      <c r="X36" s="41" t="s">
        <v>56</v>
      </c>
      <c r="Y36" s="41" t="s">
        <v>57</v>
      </c>
      <c r="Z36" s="85"/>
      <c r="AA36" s="68"/>
      <c r="AC36" s="66"/>
      <c r="AD36" s="66"/>
      <c r="AE36" s="68"/>
      <c r="AF36" s="68"/>
      <c r="AG36" s="68"/>
      <c r="AH36" s="59">
        <v>0.05</v>
      </c>
      <c r="AI36" s="59">
        <v>0.01</v>
      </c>
      <c r="AJ36" s="66"/>
      <c r="AK36" s="66"/>
      <c r="AM36" s="54" t="s">
        <v>74</v>
      </c>
      <c r="AN36" s="54">
        <f>SQRT(AF41/12)</f>
        <v>2.2519995557633519</v>
      </c>
      <c r="AO36" s="56"/>
      <c r="AP36" s="55" t="s">
        <v>84</v>
      </c>
      <c r="AS36" s="66"/>
      <c r="AT36" s="66"/>
      <c r="AU36" s="66"/>
      <c r="AV36" s="66"/>
      <c r="AW36" s="66"/>
      <c r="AX36" s="42">
        <v>0.05</v>
      </c>
      <c r="AY36" s="42">
        <v>0.01</v>
      </c>
      <c r="AZ36" s="66"/>
      <c r="BA36" s="66"/>
    </row>
    <row r="37" spans="1:53" x14ac:dyDescent="0.3">
      <c r="A37" s="73"/>
      <c r="B37" s="75"/>
      <c r="C37" s="66"/>
      <c r="D37" s="39" t="s">
        <v>3</v>
      </c>
      <c r="E37" s="39" t="s">
        <v>4</v>
      </c>
      <c r="F37" s="39" t="s">
        <v>5</v>
      </c>
      <c r="G37" s="39" t="s">
        <v>6</v>
      </c>
      <c r="H37" s="39" t="s">
        <v>3</v>
      </c>
      <c r="I37" s="39" t="s">
        <v>4</v>
      </c>
      <c r="J37" s="39" t="s">
        <v>5</v>
      </c>
      <c r="K37" s="39" t="s">
        <v>6</v>
      </c>
      <c r="L37" s="39" t="s">
        <v>3</v>
      </c>
      <c r="M37" s="39" t="s">
        <v>4</v>
      </c>
      <c r="N37" s="39" t="s">
        <v>5</v>
      </c>
      <c r="O37" s="39" t="s">
        <v>6</v>
      </c>
      <c r="P37" s="40"/>
      <c r="Q37" s="68"/>
      <c r="S37" s="6" t="s">
        <v>44</v>
      </c>
      <c r="T37" s="6">
        <v>3</v>
      </c>
      <c r="V37" s="3" t="s">
        <v>58</v>
      </c>
      <c r="W37" s="35">
        <f>SUM(D38:O38)</f>
        <v>576</v>
      </c>
      <c r="X37" s="35">
        <f>SUM(D39:O39)</f>
        <v>596</v>
      </c>
      <c r="Y37" s="35">
        <f>SUM(D40:O40)</f>
        <v>591</v>
      </c>
      <c r="Z37" s="35">
        <f>SUM(W37:Y37)</f>
        <v>1763</v>
      </c>
      <c r="AA37" s="53">
        <f>AVERAGE(W37:Y37)</f>
        <v>587.66666666666663</v>
      </c>
      <c r="AC37" s="3" t="s">
        <v>43</v>
      </c>
      <c r="AD37" s="2">
        <f>12-1</f>
        <v>11</v>
      </c>
      <c r="AE37" s="53">
        <f>T41</f>
        <v>407.09555555548286</v>
      </c>
      <c r="AF37" s="53">
        <f>AE37/AD37</f>
        <v>37.008686868680257</v>
      </c>
      <c r="AG37" s="53">
        <f>AF37/AF41</f>
        <v>0.60811515790953408</v>
      </c>
      <c r="AH37" s="53">
        <f>FINV(AH36,AD37,AD41)</f>
        <v>1.8991710184693407</v>
      </c>
      <c r="AI37" s="53">
        <f>FINV(AI36,AD37,AD41)</f>
        <v>2.4560580535880434</v>
      </c>
      <c r="AJ37" s="30" t="s">
        <v>95</v>
      </c>
      <c r="AK37" s="2"/>
      <c r="AM37" s="53" t="s">
        <v>75</v>
      </c>
      <c r="AN37" s="54">
        <v>4.46</v>
      </c>
      <c r="AO37" s="51"/>
      <c r="AP37" s="51"/>
      <c r="AS37" s="3" t="s">
        <v>43</v>
      </c>
      <c r="AT37" s="2">
        <f>12-1</f>
        <v>11</v>
      </c>
      <c r="AU37" s="6">
        <f>SUMSQ(D47:O47)/(3*3)-AT46</f>
        <v>407.09555555548286</v>
      </c>
      <c r="AV37" s="53">
        <f>AU37/AT37</f>
        <v>37.008686868680257</v>
      </c>
      <c r="AW37" s="53">
        <f>AV37/AV42</f>
        <v>0.60811515790953408</v>
      </c>
      <c r="AX37" s="53">
        <f>FINV(AX36,AT37,AT42)</f>
        <v>1.8991710184693407</v>
      </c>
      <c r="AY37" s="53">
        <f>FINV(AY36,AT37,AT42)</f>
        <v>2.4560580535880434</v>
      </c>
      <c r="AZ37" s="2" t="str">
        <f>IF(AW37&gt;AY37,"**",IF(AW37&gt;AX37,"*","TN"))</f>
        <v>TN</v>
      </c>
      <c r="BA37" s="2" t="str">
        <f>IF(AZ37="TN","Tidak Nyata",IF(AZ37="*","Nyata",IF(AZ37="**","Sangat Nyata",0)))</f>
        <v>Tidak Nyata</v>
      </c>
    </row>
    <row r="38" spans="1:53" ht="16" customHeight="1" x14ac:dyDescent="0.3">
      <c r="A38" s="73"/>
      <c r="B38" s="75"/>
      <c r="C38" s="2" t="s">
        <v>9</v>
      </c>
      <c r="D38" s="34">
        <v>53</v>
      </c>
      <c r="E38" s="34">
        <v>56</v>
      </c>
      <c r="F38" s="34">
        <v>50</v>
      </c>
      <c r="G38" s="34">
        <v>51.5</v>
      </c>
      <c r="H38" s="34">
        <v>40</v>
      </c>
      <c r="I38" s="34">
        <v>45</v>
      </c>
      <c r="J38" s="34">
        <v>51</v>
      </c>
      <c r="K38" s="34">
        <v>42</v>
      </c>
      <c r="L38" s="34">
        <v>28</v>
      </c>
      <c r="M38" s="34">
        <v>53</v>
      </c>
      <c r="N38" s="34">
        <v>53.5</v>
      </c>
      <c r="O38" s="34">
        <v>53</v>
      </c>
      <c r="P38" s="34">
        <f>SUM(D38:O38)</f>
        <v>576</v>
      </c>
      <c r="Q38" s="53">
        <f t="shared" ref="Q38:Q46" si="12">AVERAGE(D38:O38)</f>
        <v>48</v>
      </c>
      <c r="S38" s="6" t="s">
        <v>45</v>
      </c>
      <c r="T38" s="6">
        <v>3</v>
      </c>
      <c r="V38" s="3" t="s">
        <v>59</v>
      </c>
      <c r="W38" s="35">
        <f>SUM(D41:O41)</f>
        <v>616.20000000000005</v>
      </c>
      <c r="X38" s="35">
        <f>SUM(D42:O42)</f>
        <v>493.70000000000005</v>
      </c>
      <c r="Y38" s="35">
        <f>SUM(D43:O43)</f>
        <v>607.80000000000007</v>
      </c>
      <c r="Z38" s="35">
        <f>SUM(W38:Y38)</f>
        <v>1717.7000000000003</v>
      </c>
      <c r="AA38" s="53">
        <f>AVERAGE(W38:Y38)</f>
        <v>572.56666666666672</v>
      </c>
      <c r="AC38" s="3" t="s">
        <v>45</v>
      </c>
      <c r="AD38" s="2">
        <f>3-1</f>
        <v>2</v>
      </c>
      <c r="AE38" s="53">
        <f>T42</f>
        <v>163.81499999994412</v>
      </c>
      <c r="AF38" s="53">
        <f>AE38/AD38</f>
        <v>81.90749999997206</v>
      </c>
      <c r="AG38" s="53">
        <f>AF38/AF41</f>
        <v>1.3458784007440896</v>
      </c>
      <c r="AH38" s="53">
        <f>FINV(AH36,AD38,AD41)</f>
        <v>3.1000686386371408</v>
      </c>
      <c r="AI38" s="53">
        <f>FINV(AI36,AD38,AD41)</f>
        <v>4.8547979993760721</v>
      </c>
      <c r="AJ38" s="30" t="s">
        <v>95</v>
      </c>
      <c r="AK38" s="2"/>
      <c r="AM38" s="53" t="s">
        <v>76</v>
      </c>
      <c r="AN38" s="54">
        <f>AN37*AN36</f>
        <v>10.043918018704549</v>
      </c>
      <c r="AO38" s="51"/>
      <c r="AP38" s="51"/>
      <c r="AS38" s="3" t="s">
        <v>98</v>
      </c>
      <c r="AT38" s="2">
        <f>3*3-1</f>
        <v>8</v>
      </c>
      <c r="AU38" s="53">
        <f>SUMSQ(P38:P46)/12-AT46</f>
        <v>1438.0049999998882</v>
      </c>
      <c r="AV38" s="53">
        <f t="shared" ref="AV38:AV42" si="13">AU38/AT38</f>
        <v>179.75062499998603</v>
      </c>
      <c r="AW38" s="53">
        <f>AV38/AV42</f>
        <v>2.9536060032086717</v>
      </c>
      <c r="AX38" s="53">
        <f>FINV(AX36,AT38,AT42)</f>
        <v>2.0454143150341193</v>
      </c>
      <c r="AY38" s="53">
        <f>FINV(AY36,AT38,AT42)</f>
        <v>2.720181875728696</v>
      </c>
      <c r="AZ38" s="2" t="str">
        <f>IF(AW38&gt;AY38,"**",IF(AW38&gt;AX38,"*","TN"))</f>
        <v>**</v>
      </c>
      <c r="BA38" s="2" t="str">
        <f t="shared" ref="BA38:BA41" si="14">IF(AZ38="TN","Tidak Nyata",IF(AZ38="*","Nyata",IF(AZ38="**","Sangat Nyata",0)))</f>
        <v>Sangat Nyata</v>
      </c>
    </row>
    <row r="39" spans="1:53" ht="15.5" x14ac:dyDescent="0.3">
      <c r="A39" s="73"/>
      <c r="B39" s="75"/>
      <c r="C39" s="2" t="s">
        <v>10</v>
      </c>
      <c r="D39" s="35">
        <v>51</v>
      </c>
      <c r="E39" s="35">
        <v>50</v>
      </c>
      <c r="F39" s="35">
        <v>49</v>
      </c>
      <c r="G39" s="35">
        <v>52</v>
      </c>
      <c r="H39" s="35">
        <v>51</v>
      </c>
      <c r="I39" s="35">
        <v>50</v>
      </c>
      <c r="J39" s="35">
        <v>48</v>
      </c>
      <c r="K39" s="35">
        <v>49</v>
      </c>
      <c r="L39" s="35">
        <v>50</v>
      </c>
      <c r="M39" s="35">
        <v>48</v>
      </c>
      <c r="N39" s="35">
        <v>49</v>
      </c>
      <c r="O39" s="35">
        <v>49</v>
      </c>
      <c r="P39" s="34">
        <f t="shared" ref="P39:P47" si="15">SUM(D39:O39)</f>
        <v>596</v>
      </c>
      <c r="Q39" s="53">
        <f t="shared" si="12"/>
        <v>49.666666666666664</v>
      </c>
      <c r="S39" s="6" t="s">
        <v>46</v>
      </c>
      <c r="T39" s="51">
        <f>(P47^2)/(12*3*3)</f>
        <v>270120.01333333342</v>
      </c>
      <c r="V39" s="3" t="s">
        <v>60</v>
      </c>
      <c r="W39" s="35">
        <f>SUM(D44:O44)</f>
        <v>640</v>
      </c>
      <c r="X39" s="35">
        <f>SUM(D45:O45)</f>
        <v>648</v>
      </c>
      <c r="Y39" s="35">
        <f>SUM(D46:O46)</f>
        <v>632.5</v>
      </c>
      <c r="Z39" s="35">
        <f>SUM(W39:Y39)</f>
        <v>1920.5</v>
      </c>
      <c r="AA39" s="53">
        <f>AVERAGE(W39:Y39)</f>
        <v>640.16666666666663</v>
      </c>
      <c r="AC39" s="3" t="s">
        <v>44</v>
      </c>
      <c r="AD39" s="2">
        <f>3-1</f>
        <v>2</v>
      </c>
      <c r="AE39" s="53">
        <f>T43</f>
        <v>629.50166666659061</v>
      </c>
      <c r="AF39" s="53">
        <f>AE39/AD39</f>
        <v>314.7508333332953</v>
      </c>
      <c r="AG39" s="53">
        <f>AF39/AF41</f>
        <v>5.1718871678372489</v>
      </c>
      <c r="AH39" s="53">
        <f>FINV(AH36,AD39,AD41)</f>
        <v>3.1000686386371408</v>
      </c>
      <c r="AI39" s="53">
        <f>FINV(AI36,AD39,AD41)</f>
        <v>4.8547979993760721</v>
      </c>
      <c r="AJ39" s="30" t="s">
        <v>72</v>
      </c>
      <c r="AK39" s="2"/>
      <c r="AM39" s="51"/>
      <c r="AN39" s="51"/>
      <c r="AO39" s="51"/>
      <c r="AP39" s="51"/>
      <c r="AS39" s="3" t="s">
        <v>45</v>
      </c>
      <c r="AT39" s="2">
        <f>3-1</f>
        <v>2</v>
      </c>
      <c r="AU39" s="53">
        <f>SUMSQ(W40:Y40)/(3*12)-AT46</f>
        <v>163.81499999994412</v>
      </c>
      <c r="AV39" s="53">
        <f t="shared" si="13"/>
        <v>81.90749999997206</v>
      </c>
      <c r="AW39" s="53">
        <f>AV39/AV42</f>
        <v>1.3458784007440896</v>
      </c>
      <c r="AX39" s="53">
        <f>FINV(AX36,AT39,AT42)</f>
        <v>3.1000686386371408</v>
      </c>
      <c r="AY39" s="53">
        <f>FINV(AY36,AT39,AT42)</f>
        <v>4.8547979993760721</v>
      </c>
      <c r="AZ39" s="2" t="str">
        <f>IF(AW39&gt;AY39,"**",IF(AW39&gt;AX39,"*","TN"))</f>
        <v>TN</v>
      </c>
      <c r="BA39" s="2" t="str">
        <f t="shared" si="14"/>
        <v>Tidak Nyata</v>
      </c>
    </row>
    <row r="40" spans="1:53" ht="15.5" x14ac:dyDescent="0.3">
      <c r="A40" s="73"/>
      <c r="B40" s="75"/>
      <c r="C40" s="2" t="s">
        <v>11</v>
      </c>
      <c r="D40" s="35">
        <v>50</v>
      </c>
      <c r="E40" s="35">
        <v>49</v>
      </c>
      <c r="F40" s="35">
        <v>48</v>
      </c>
      <c r="G40" s="35">
        <v>48</v>
      </c>
      <c r="H40" s="35">
        <v>49</v>
      </c>
      <c r="I40" s="35">
        <v>49</v>
      </c>
      <c r="J40" s="35">
        <v>50</v>
      </c>
      <c r="K40" s="35">
        <v>51</v>
      </c>
      <c r="L40" s="35">
        <v>49</v>
      </c>
      <c r="M40" s="35">
        <v>50</v>
      </c>
      <c r="N40" s="35">
        <v>50</v>
      </c>
      <c r="O40" s="35">
        <v>48</v>
      </c>
      <c r="P40" s="34">
        <f>SUM(D40:O40)</f>
        <v>591</v>
      </c>
      <c r="Q40" s="53">
        <f t="shared" si="12"/>
        <v>49.25</v>
      </c>
      <c r="S40" s="6" t="s">
        <v>47</v>
      </c>
      <c r="T40" s="51">
        <f>SUMSQ(D38:O46)-T39</f>
        <v>7200.606666666572</v>
      </c>
      <c r="V40" s="3" t="s">
        <v>33</v>
      </c>
      <c r="W40" s="35">
        <f>SUM(W37:W39)</f>
        <v>1832.2</v>
      </c>
      <c r="X40" s="35">
        <f>SUM(X37:X39)</f>
        <v>1737.7</v>
      </c>
      <c r="Y40" s="35">
        <f>SUM(Y37:Y39)</f>
        <v>1831.3000000000002</v>
      </c>
      <c r="Z40" s="35">
        <f>SUM(W40:Y40)</f>
        <v>5401.2000000000007</v>
      </c>
      <c r="AA40" s="53">
        <f>AVERAGE(W40:Y40)</f>
        <v>1800.4000000000003</v>
      </c>
      <c r="AC40" s="3" t="s">
        <v>69</v>
      </c>
      <c r="AD40" s="2">
        <f>(3-1)*(3-1)</f>
        <v>4</v>
      </c>
      <c r="AE40" s="53">
        <f>T44</f>
        <v>644.68833333335351</v>
      </c>
      <c r="AF40" s="53">
        <f>AE40/AD40</f>
        <v>161.17208333333838</v>
      </c>
      <c r="AG40" s="53">
        <f>AF40/AF41</f>
        <v>2.6483292221266743</v>
      </c>
      <c r="AH40" s="53">
        <f>FINV(AH36,AD40,AD41)</f>
        <v>2.4752774088696223</v>
      </c>
      <c r="AI40" s="53">
        <f>FINV(AI36,AD40,AD41)</f>
        <v>3.5400845421240663</v>
      </c>
      <c r="AJ40" s="30" t="s">
        <v>72</v>
      </c>
      <c r="AK40" s="2"/>
      <c r="AM40" s="54" t="s">
        <v>0</v>
      </c>
      <c r="AN40" s="54" t="s">
        <v>32</v>
      </c>
      <c r="AO40" s="54" t="s">
        <v>67</v>
      </c>
      <c r="AP40" s="54" t="s">
        <v>77</v>
      </c>
      <c r="AS40" s="3" t="s">
        <v>44</v>
      </c>
      <c r="AT40" s="2">
        <f>3-1</f>
        <v>2</v>
      </c>
      <c r="AU40" s="53">
        <f>SUMSQ(Z37:Z39)/(3*12)-AT46</f>
        <v>629.50166666659061</v>
      </c>
      <c r="AV40" s="53">
        <f t="shared" si="13"/>
        <v>314.7508333332953</v>
      </c>
      <c r="AW40" s="53">
        <f>AV40/AV42</f>
        <v>5.1718871678372489</v>
      </c>
      <c r="AX40" s="53">
        <f>FINV(AX36,AT40,AT42)</f>
        <v>3.1000686386371408</v>
      </c>
      <c r="AY40" s="53">
        <f>FINV(AY36,AT40,AT42)</f>
        <v>4.8547979993760721</v>
      </c>
      <c r="AZ40" s="2" t="str">
        <f>IF(AW40&gt;AY40,"**",IF(AW40&gt;AX40,"*","TN"))</f>
        <v>**</v>
      </c>
      <c r="BA40" s="2" t="str">
        <f t="shared" si="14"/>
        <v>Sangat Nyata</v>
      </c>
    </row>
    <row r="41" spans="1:53" ht="15.5" x14ac:dyDescent="0.3">
      <c r="A41" s="73"/>
      <c r="B41" s="75"/>
      <c r="C41" s="2" t="s">
        <v>12</v>
      </c>
      <c r="D41" s="34">
        <v>58</v>
      </c>
      <c r="E41" s="34">
        <v>52.4</v>
      </c>
      <c r="F41" s="34">
        <v>54</v>
      </c>
      <c r="G41" s="34">
        <v>60.7</v>
      </c>
      <c r="H41" s="34">
        <v>53.1</v>
      </c>
      <c r="I41" s="34">
        <v>52.4</v>
      </c>
      <c r="J41" s="34">
        <v>55.5</v>
      </c>
      <c r="K41" s="34">
        <v>50.7</v>
      </c>
      <c r="L41" s="34">
        <v>41.6</v>
      </c>
      <c r="M41" s="34">
        <v>35.299999999999997</v>
      </c>
      <c r="N41" s="34">
        <v>52.1</v>
      </c>
      <c r="O41" s="34">
        <v>50.4</v>
      </c>
      <c r="P41" s="34">
        <f t="shared" si="15"/>
        <v>616.20000000000005</v>
      </c>
      <c r="Q41" s="53">
        <f t="shared" si="12"/>
        <v>51.35</v>
      </c>
      <c r="S41" s="6" t="s">
        <v>48</v>
      </c>
      <c r="T41" s="51">
        <f>(SUMSQ(D47:O47)/(3*3))-T39</f>
        <v>407.09555555548286</v>
      </c>
      <c r="V41" s="3" t="s">
        <v>32</v>
      </c>
      <c r="W41" s="53">
        <f>AVERAGE(W37:W39)</f>
        <v>610.73333333333335</v>
      </c>
      <c r="X41" s="53">
        <f>AVERAGE(X37:X39)</f>
        <v>579.23333333333335</v>
      </c>
      <c r="Y41" s="53">
        <f>AVERAGE(Y37:Y39)</f>
        <v>610.43333333333339</v>
      </c>
      <c r="Z41" s="33"/>
      <c r="AA41" s="53"/>
      <c r="AC41" s="3" t="s">
        <v>70</v>
      </c>
      <c r="AD41" s="2">
        <f>((3*3)-1)*(12-1)</f>
        <v>88</v>
      </c>
      <c r="AE41" s="53">
        <f>T45</f>
        <v>5355.5061111112009</v>
      </c>
      <c r="AF41" s="53">
        <f>AE41/AD41</f>
        <v>60.858023989900012</v>
      </c>
      <c r="AG41" s="53"/>
      <c r="AH41" s="53"/>
      <c r="AI41" s="53"/>
      <c r="AJ41" s="2"/>
      <c r="AK41" s="2"/>
      <c r="AM41" s="53" t="s">
        <v>13</v>
      </c>
      <c r="AN41" s="53">
        <v>44.881818181818183</v>
      </c>
      <c r="AO41" s="53" t="s">
        <v>93</v>
      </c>
      <c r="AP41" s="53">
        <f>AN41+AN38</f>
        <v>54.925736200522735</v>
      </c>
      <c r="AS41" s="3" t="s">
        <v>69</v>
      </c>
      <c r="AT41" s="2">
        <f>AT39*AT40</f>
        <v>4</v>
      </c>
      <c r="AU41" s="53">
        <f>AU38-AU39-AU40</f>
        <v>644.68833333335351</v>
      </c>
      <c r="AV41" s="53">
        <f t="shared" si="13"/>
        <v>161.17208333333838</v>
      </c>
      <c r="AW41" s="53">
        <f>AV41/AV42</f>
        <v>2.6483292221266743</v>
      </c>
      <c r="AX41" s="53">
        <f>FINV(AX36,AT41,AT42)</f>
        <v>2.4752774088696223</v>
      </c>
      <c r="AY41" s="53">
        <f>FINV(AY36,AT41,AT42)</f>
        <v>3.5400845421240663</v>
      </c>
      <c r="AZ41" s="2" t="str">
        <f>IF(AW41&gt;AY41,"**",IF(AW41&gt;AX41,"*","TN"))</f>
        <v>*</v>
      </c>
      <c r="BA41" s="2" t="str">
        <f t="shared" si="14"/>
        <v>Nyata</v>
      </c>
    </row>
    <row r="42" spans="1:53" ht="15.5" x14ac:dyDescent="0.3">
      <c r="A42" s="73"/>
      <c r="B42" s="75"/>
      <c r="C42" s="2" t="s">
        <v>13</v>
      </c>
      <c r="D42" s="47" t="s">
        <v>30</v>
      </c>
      <c r="E42" s="34">
        <v>26.2</v>
      </c>
      <c r="F42" s="34">
        <v>25.3</v>
      </c>
      <c r="G42" s="34">
        <v>26.8</v>
      </c>
      <c r="H42" s="34">
        <v>56</v>
      </c>
      <c r="I42" s="34">
        <v>53.8</v>
      </c>
      <c r="J42" s="34">
        <v>58.8</v>
      </c>
      <c r="K42" s="34">
        <v>53.3</v>
      </c>
      <c r="L42" s="34">
        <v>44.3</v>
      </c>
      <c r="M42" s="34">
        <v>45.5</v>
      </c>
      <c r="N42" s="34">
        <v>50.9</v>
      </c>
      <c r="O42" s="34">
        <v>52.8</v>
      </c>
      <c r="P42" s="34">
        <f t="shared" si="15"/>
        <v>493.70000000000005</v>
      </c>
      <c r="Q42" s="53">
        <f t="shared" si="12"/>
        <v>44.881818181818183</v>
      </c>
      <c r="S42" s="6" t="s">
        <v>50</v>
      </c>
      <c r="T42" s="51">
        <f>(SUMSQ(W40:Y40)/(12*3))-T39</f>
        <v>163.81499999994412</v>
      </c>
      <c r="W42" s="44"/>
      <c r="X42" s="44"/>
      <c r="Y42" s="44"/>
      <c r="Z42" s="44"/>
      <c r="AA42" s="51"/>
      <c r="AC42" s="3" t="s">
        <v>33</v>
      </c>
      <c r="AD42" s="2">
        <f>(3*3*12)-1</f>
        <v>107</v>
      </c>
      <c r="AE42" s="53">
        <f>T40</f>
        <v>7200.606666666572</v>
      </c>
      <c r="AF42" s="53"/>
      <c r="AG42" s="53"/>
      <c r="AH42" s="53"/>
      <c r="AI42" s="53"/>
      <c r="AJ42" s="2"/>
      <c r="AK42" s="2"/>
      <c r="AM42" s="53" t="s">
        <v>9</v>
      </c>
      <c r="AN42" s="53">
        <v>48</v>
      </c>
      <c r="AO42" s="53" t="s">
        <v>93</v>
      </c>
      <c r="AP42" s="53">
        <f>AN42+AN38</f>
        <v>58.043918018704545</v>
      </c>
      <c r="AS42" s="3" t="s">
        <v>70</v>
      </c>
      <c r="AT42" s="2">
        <f>AT43-AT37-AT38</f>
        <v>88</v>
      </c>
      <c r="AU42" s="53">
        <f>AU43-AU37-AU38</f>
        <v>5355.5061111112009</v>
      </c>
      <c r="AV42" s="53">
        <f t="shared" si="13"/>
        <v>60.858023989900012</v>
      </c>
      <c r="AW42" s="53"/>
      <c r="AX42" s="53"/>
      <c r="AY42" s="53"/>
      <c r="AZ42" s="2"/>
      <c r="BA42" s="2"/>
    </row>
    <row r="43" spans="1:53" ht="15.5" x14ac:dyDescent="0.3">
      <c r="A43" s="73"/>
      <c r="B43" s="75"/>
      <c r="C43" s="2" t="s">
        <v>14</v>
      </c>
      <c r="D43" s="34">
        <v>41</v>
      </c>
      <c r="E43" s="34">
        <v>58.8</v>
      </c>
      <c r="F43" s="34">
        <v>59.5</v>
      </c>
      <c r="G43" s="34">
        <v>43.1</v>
      </c>
      <c r="H43" s="34">
        <v>48.4</v>
      </c>
      <c r="I43" s="34">
        <v>56.6</v>
      </c>
      <c r="J43" s="34">
        <v>51.1</v>
      </c>
      <c r="K43" s="34">
        <v>51.3</v>
      </c>
      <c r="L43" s="34">
        <v>50.4</v>
      </c>
      <c r="M43" s="34">
        <v>43.4</v>
      </c>
      <c r="N43" s="34">
        <v>49.6</v>
      </c>
      <c r="O43" s="34">
        <v>54.6</v>
      </c>
      <c r="P43" s="34">
        <f t="shared" si="15"/>
        <v>607.80000000000007</v>
      </c>
      <c r="Q43" s="53">
        <f t="shared" si="12"/>
        <v>50.650000000000006</v>
      </c>
      <c r="S43" s="6" t="s">
        <v>49</v>
      </c>
      <c r="T43" s="51">
        <f>(SUMSQ(Z37:Z39)/(12*3))-T39</f>
        <v>629.50166666659061</v>
      </c>
      <c r="W43" s="44"/>
      <c r="X43" s="44"/>
      <c r="Y43" s="44"/>
      <c r="Z43" s="44"/>
      <c r="AA43" s="51"/>
      <c r="AE43" s="51"/>
      <c r="AF43" s="51"/>
      <c r="AG43" s="51"/>
      <c r="AH43" s="51"/>
      <c r="AI43" s="51"/>
      <c r="AM43" s="53" t="s">
        <v>11</v>
      </c>
      <c r="AN43" s="53">
        <v>49.25</v>
      </c>
      <c r="AO43" s="53" t="s">
        <v>93</v>
      </c>
      <c r="AP43" s="53">
        <f>AN43+AN38</f>
        <v>59.293918018704545</v>
      </c>
      <c r="AS43" s="3" t="s">
        <v>33</v>
      </c>
      <c r="AT43" s="2">
        <f>(3*3*12)-1</f>
        <v>107</v>
      </c>
      <c r="AU43" s="53">
        <f>SUMSQ(D38:O46)-AT46</f>
        <v>7200.606666666572</v>
      </c>
      <c r="AV43" s="53"/>
      <c r="AW43" s="53"/>
      <c r="AX43" s="53"/>
      <c r="AY43" s="53"/>
      <c r="AZ43" s="2"/>
      <c r="BA43" s="2"/>
    </row>
    <row r="44" spans="1:53" ht="15.5" x14ac:dyDescent="0.3">
      <c r="A44" s="73"/>
      <c r="B44" s="75"/>
      <c r="C44" s="2" t="s">
        <v>15</v>
      </c>
      <c r="D44" s="34">
        <v>58</v>
      </c>
      <c r="E44" s="34">
        <v>56</v>
      </c>
      <c r="F44" s="34">
        <v>59</v>
      </c>
      <c r="G44" s="34">
        <v>63.5</v>
      </c>
      <c r="H44" s="34">
        <v>49</v>
      </c>
      <c r="I44" s="34">
        <v>54</v>
      </c>
      <c r="J44" s="34">
        <v>48</v>
      </c>
      <c r="K44" s="34">
        <v>52</v>
      </c>
      <c r="L44" s="34">
        <v>47</v>
      </c>
      <c r="M44" s="34">
        <v>48.5</v>
      </c>
      <c r="N44" s="34">
        <v>50</v>
      </c>
      <c r="O44" s="34">
        <v>55</v>
      </c>
      <c r="P44" s="34">
        <f t="shared" si="15"/>
        <v>640</v>
      </c>
      <c r="Q44" s="53">
        <f t="shared" si="12"/>
        <v>53.333333333333336</v>
      </c>
      <c r="S44" s="6" t="s">
        <v>51</v>
      </c>
      <c r="T44" s="51">
        <f>(SUMSQ(W37:Y39)/(12))-T39-T42-T43</f>
        <v>644.68833333335351</v>
      </c>
      <c r="W44" s="44"/>
      <c r="X44" s="44"/>
      <c r="Y44" s="44"/>
      <c r="Z44" s="44"/>
      <c r="AA44" s="51"/>
      <c r="AE44" s="51"/>
      <c r="AF44" s="51"/>
      <c r="AG44" s="51"/>
      <c r="AH44" s="51"/>
      <c r="AI44" s="51"/>
      <c r="AM44" s="53" t="s">
        <v>10</v>
      </c>
      <c r="AN44" s="53">
        <v>49.666666666666664</v>
      </c>
      <c r="AO44" s="53" t="s">
        <v>93</v>
      </c>
      <c r="AP44" s="53">
        <f>AN44+AN38</f>
        <v>59.710584685371217</v>
      </c>
    </row>
    <row r="45" spans="1:53" ht="15.5" x14ac:dyDescent="0.3">
      <c r="A45" s="73"/>
      <c r="B45" s="75"/>
      <c r="C45" s="2" t="s">
        <v>16</v>
      </c>
      <c r="D45" s="34">
        <v>56</v>
      </c>
      <c r="E45" s="34">
        <v>61</v>
      </c>
      <c r="F45" s="34">
        <v>53</v>
      </c>
      <c r="G45" s="34">
        <v>58</v>
      </c>
      <c r="H45" s="34">
        <v>51</v>
      </c>
      <c r="I45" s="34">
        <v>55</v>
      </c>
      <c r="J45" s="34">
        <v>51</v>
      </c>
      <c r="K45" s="34">
        <v>49.5</v>
      </c>
      <c r="L45" s="34">
        <v>49</v>
      </c>
      <c r="M45" s="34">
        <v>55</v>
      </c>
      <c r="N45" s="34">
        <v>55.5</v>
      </c>
      <c r="O45" s="34">
        <v>54</v>
      </c>
      <c r="P45" s="34">
        <f t="shared" si="15"/>
        <v>648</v>
      </c>
      <c r="Q45" s="53">
        <f t="shared" si="12"/>
        <v>54</v>
      </c>
      <c r="S45" s="6" t="s">
        <v>52</v>
      </c>
      <c r="T45" s="51">
        <f>T40-T41-T42-T43-T44</f>
        <v>5355.5061111112009</v>
      </c>
      <c r="W45" s="44"/>
      <c r="X45" s="44"/>
      <c r="Y45" s="44"/>
      <c r="Z45" s="44"/>
      <c r="AA45" s="51"/>
      <c r="AE45" s="51"/>
      <c r="AF45" s="51"/>
      <c r="AG45" s="51"/>
      <c r="AH45" s="51"/>
      <c r="AI45" s="51"/>
      <c r="AM45" s="53" t="s">
        <v>14</v>
      </c>
      <c r="AN45" s="53">
        <v>50.650000000000006</v>
      </c>
      <c r="AO45" s="53" t="s">
        <v>93</v>
      </c>
      <c r="AP45" s="53">
        <f>AN45+AN38</f>
        <v>60.693918018704551</v>
      </c>
    </row>
    <row r="46" spans="1:53" ht="15.5" x14ac:dyDescent="0.3">
      <c r="A46" s="73"/>
      <c r="B46" s="75"/>
      <c r="C46" s="2" t="s">
        <v>17</v>
      </c>
      <c r="D46" s="34">
        <v>56</v>
      </c>
      <c r="E46" s="34">
        <v>60</v>
      </c>
      <c r="F46" s="34">
        <v>53</v>
      </c>
      <c r="G46" s="34">
        <v>60</v>
      </c>
      <c r="H46" s="34">
        <v>51</v>
      </c>
      <c r="I46" s="34">
        <v>49</v>
      </c>
      <c r="J46" s="34">
        <v>49</v>
      </c>
      <c r="K46" s="34">
        <v>47</v>
      </c>
      <c r="L46" s="34">
        <v>56</v>
      </c>
      <c r="M46" s="34">
        <v>51.5</v>
      </c>
      <c r="N46" s="34">
        <v>51</v>
      </c>
      <c r="O46" s="34">
        <v>49</v>
      </c>
      <c r="P46" s="34">
        <f t="shared" si="15"/>
        <v>632.5</v>
      </c>
      <c r="Q46" s="53">
        <f t="shared" si="12"/>
        <v>52.708333333333336</v>
      </c>
      <c r="W46" s="44"/>
      <c r="X46" s="44"/>
      <c r="Y46" s="44"/>
      <c r="Z46" s="44"/>
      <c r="AA46" s="51"/>
      <c r="AE46" s="51"/>
      <c r="AF46" s="51"/>
      <c r="AG46" s="51"/>
      <c r="AH46" s="51"/>
      <c r="AI46" s="51"/>
      <c r="AM46" s="53" t="s">
        <v>12</v>
      </c>
      <c r="AN46" s="53">
        <v>51.35</v>
      </c>
      <c r="AO46" s="53" t="s">
        <v>93</v>
      </c>
      <c r="AP46" s="53">
        <f>AN46+AN38</f>
        <v>61.393918018704554</v>
      </c>
      <c r="AS46" s="2" t="s">
        <v>46</v>
      </c>
      <c r="AT46" s="53">
        <f>P47^2/(3*3*12)</f>
        <v>270120.01333333342</v>
      </c>
    </row>
    <row r="47" spans="1:53" ht="15.5" x14ac:dyDescent="0.3">
      <c r="A47" s="73"/>
      <c r="B47" s="75"/>
      <c r="C47" s="2" t="s">
        <v>33</v>
      </c>
      <c r="D47" s="34">
        <f>SUM(D38:D46)</f>
        <v>423</v>
      </c>
      <c r="E47" s="34">
        <f t="shared" ref="E47:O47" si="16">SUM(E38:E46)</f>
        <v>469.4</v>
      </c>
      <c r="F47" s="34">
        <f t="shared" si="16"/>
        <v>450.8</v>
      </c>
      <c r="G47" s="34">
        <f t="shared" si="16"/>
        <v>463.6</v>
      </c>
      <c r="H47" s="34">
        <f t="shared" si="16"/>
        <v>448.5</v>
      </c>
      <c r="I47" s="34">
        <f t="shared" si="16"/>
        <v>464.8</v>
      </c>
      <c r="J47" s="34">
        <f t="shared" si="16"/>
        <v>462.40000000000003</v>
      </c>
      <c r="K47" s="34">
        <f t="shared" si="16"/>
        <v>445.8</v>
      </c>
      <c r="L47" s="34">
        <f t="shared" si="16"/>
        <v>415.29999999999995</v>
      </c>
      <c r="M47" s="34">
        <f t="shared" si="16"/>
        <v>430.2</v>
      </c>
      <c r="N47" s="34">
        <f t="shared" si="16"/>
        <v>461.6</v>
      </c>
      <c r="O47" s="34">
        <f t="shared" si="16"/>
        <v>465.8</v>
      </c>
      <c r="P47" s="34">
        <f t="shared" si="15"/>
        <v>5401.2000000000007</v>
      </c>
      <c r="Q47" s="53"/>
      <c r="W47" s="44"/>
      <c r="X47" s="44"/>
      <c r="Y47" s="44"/>
      <c r="Z47" s="44"/>
      <c r="AA47" s="51"/>
      <c r="AE47" s="51"/>
      <c r="AF47" s="51"/>
      <c r="AG47" s="51"/>
      <c r="AH47" s="51"/>
      <c r="AI47" s="51"/>
      <c r="AM47" s="53" t="s">
        <v>17</v>
      </c>
      <c r="AN47" s="53">
        <v>52.708333333333336</v>
      </c>
      <c r="AO47" s="53" t="s">
        <v>93</v>
      </c>
      <c r="AP47" s="53">
        <f>AN47+AN38</f>
        <v>62.752251352037888</v>
      </c>
    </row>
    <row r="48" spans="1:53" ht="15.5" x14ac:dyDescent="0.3">
      <c r="A48" s="66"/>
      <c r="B48" s="76"/>
      <c r="C48" s="2" t="s">
        <v>32</v>
      </c>
      <c r="D48" s="24">
        <f>AVERAGE(D38:D46)</f>
        <v>52.875</v>
      </c>
      <c r="E48" s="24">
        <f t="shared" ref="E48:O48" si="17">AVERAGE(E38:E46)</f>
        <v>52.155555555555551</v>
      </c>
      <c r="F48" s="24">
        <f t="shared" si="17"/>
        <v>50.088888888888889</v>
      </c>
      <c r="G48" s="24">
        <f t="shared" si="17"/>
        <v>51.511111111111113</v>
      </c>
      <c r="H48" s="24">
        <f t="shared" si="17"/>
        <v>49.833333333333336</v>
      </c>
      <c r="I48" s="24">
        <f t="shared" si="17"/>
        <v>51.644444444444446</v>
      </c>
      <c r="J48" s="24">
        <f t="shared" si="17"/>
        <v>51.37777777777778</v>
      </c>
      <c r="K48" s="24">
        <f t="shared" si="17"/>
        <v>49.533333333333331</v>
      </c>
      <c r="L48" s="24">
        <f t="shared" si="17"/>
        <v>46.144444444444439</v>
      </c>
      <c r="M48" s="24">
        <f t="shared" si="17"/>
        <v>47.8</v>
      </c>
      <c r="N48" s="24">
        <f t="shared" si="17"/>
        <v>51.288888888888891</v>
      </c>
      <c r="O48" s="24">
        <f t="shared" si="17"/>
        <v>51.75555555555556</v>
      </c>
      <c r="P48" s="34"/>
      <c r="Q48" s="53"/>
      <c r="W48" s="44"/>
      <c r="X48" s="44"/>
      <c r="Y48" s="44"/>
      <c r="Z48" s="44"/>
      <c r="AA48" s="51"/>
      <c r="AE48" s="51"/>
      <c r="AF48" s="51"/>
      <c r="AG48" s="51"/>
      <c r="AH48" s="51"/>
      <c r="AI48" s="51"/>
      <c r="AM48" s="53" t="s">
        <v>15</v>
      </c>
      <c r="AN48" s="53">
        <v>53.333333333333336</v>
      </c>
      <c r="AO48" s="53" t="s">
        <v>93</v>
      </c>
      <c r="AP48" s="53">
        <f>AN48+AN38</f>
        <v>63.377251352037888</v>
      </c>
    </row>
    <row r="49" spans="1:53" ht="15.5" x14ac:dyDescent="0.3">
      <c r="A49" s="5"/>
      <c r="B49" s="7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51"/>
      <c r="W49" s="44"/>
      <c r="X49" s="44"/>
      <c r="Y49" s="44"/>
      <c r="Z49" s="44"/>
      <c r="AA49" s="51"/>
      <c r="AE49" s="51"/>
      <c r="AF49" s="51"/>
      <c r="AG49" s="51"/>
      <c r="AH49" s="51"/>
      <c r="AI49" s="51"/>
      <c r="AM49" s="53" t="s">
        <v>16</v>
      </c>
      <c r="AN49" s="53">
        <v>54</v>
      </c>
      <c r="AO49" s="53" t="s">
        <v>93</v>
      </c>
      <c r="AP49" s="53">
        <f>AN49+AN38</f>
        <v>64.043918018704545</v>
      </c>
    </row>
    <row r="50" spans="1:53" ht="14.5" customHeight="1" x14ac:dyDescent="0.3"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51"/>
      <c r="W50" s="44"/>
      <c r="X50" s="44"/>
      <c r="Y50" s="44"/>
      <c r="Z50" s="44"/>
      <c r="AA50" s="51"/>
      <c r="AE50" s="51"/>
      <c r="AF50" s="51"/>
      <c r="AG50" s="51"/>
      <c r="AH50" s="51"/>
      <c r="AI50" s="51"/>
      <c r="AM50" s="51"/>
      <c r="AN50" s="51"/>
      <c r="AO50" s="51"/>
      <c r="AP50" s="51"/>
      <c r="AS50" s="6" t="s">
        <v>97</v>
      </c>
    </row>
    <row r="51" spans="1:53" x14ac:dyDescent="0.3">
      <c r="A51" s="3" t="s">
        <v>18</v>
      </c>
      <c r="B51" s="3" t="s">
        <v>20</v>
      </c>
      <c r="C51" s="65" t="s">
        <v>0</v>
      </c>
      <c r="D51" s="88" t="s">
        <v>1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90"/>
      <c r="P51" s="37"/>
      <c r="Q51" s="67" t="s">
        <v>32</v>
      </c>
      <c r="V51" s="65" t="s">
        <v>53</v>
      </c>
      <c r="W51" s="81" t="s">
        <v>54</v>
      </c>
      <c r="X51" s="82"/>
      <c r="Y51" s="83"/>
      <c r="Z51" s="84" t="s">
        <v>33</v>
      </c>
      <c r="AA51" s="67" t="s">
        <v>32</v>
      </c>
      <c r="AC51" s="65" t="s">
        <v>61</v>
      </c>
      <c r="AD51" s="65" t="s">
        <v>62</v>
      </c>
      <c r="AE51" s="67" t="s">
        <v>63</v>
      </c>
      <c r="AF51" s="67" t="s">
        <v>64</v>
      </c>
      <c r="AG51" s="67" t="s">
        <v>65</v>
      </c>
      <c r="AH51" s="64" t="s">
        <v>66</v>
      </c>
      <c r="AI51" s="64"/>
      <c r="AJ51" s="65" t="s">
        <v>67</v>
      </c>
      <c r="AK51" s="65" t="s">
        <v>68</v>
      </c>
      <c r="AM51" s="80" t="s">
        <v>80</v>
      </c>
      <c r="AN51" s="80"/>
      <c r="AO51" s="51"/>
      <c r="AP51" s="51"/>
      <c r="AS51" s="65" t="s">
        <v>61</v>
      </c>
      <c r="AT51" s="65" t="s">
        <v>62</v>
      </c>
      <c r="AU51" s="65" t="s">
        <v>63</v>
      </c>
      <c r="AV51" s="65" t="s">
        <v>64</v>
      </c>
      <c r="AW51" s="65" t="s">
        <v>65</v>
      </c>
      <c r="AX51" s="69" t="s">
        <v>66</v>
      </c>
      <c r="AY51" s="69"/>
      <c r="AZ51" s="65" t="s">
        <v>67</v>
      </c>
      <c r="BA51" s="65" t="s">
        <v>68</v>
      </c>
    </row>
    <row r="52" spans="1:53" ht="16.5" customHeight="1" x14ac:dyDescent="0.3">
      <c r="A52" s="9">
        <v>4</v>
      </c>
      <c r="B52" s="12" t="s">
        <v>24</v>
      </c>
      <c r="C52" s="73"/>
      <c r="D52" s="88" t="s">
        <v>2</v>
      </c>
      <c r="E52" s="89"/>
      <c r="F52" s="89"/>
      <c r="G52" s="90"/>
      <c r="H52" s="88" t="s">
        <v>7</v>
      </c>
      <c r="I52" s="89"/>
      <c r="J52" s="89"/>
      <c r="K52" s="90"/>
      <c r="L52" s="88" t="s">
        <v>8</v>
      </c>
      <c r="M52" s="89"/>
      <c r="N52" s="89"/>
      <c r="O52" s="90"/>
      <c r="P52" s="38" t="s">
        <v>33</v>
      </c>
      <c r="Q52" s="77"/>
      <c r="S52" s="6" t="s">
        <v>71</v>
      </c>
      <c r="T52" s="6">
        <v>12</v>
      </c>
      <c r="V52" s="66"/>
      <c r="W52" s="41" t="s">
        <v>55</v>
      </c>
      <c r="X52" s="41" t="s">
        <v>56</v>
      </c>
      <c r="Y52" s="41" t="s">
        <v>57</v>
      </c>
      <c r="Z52" s="85"/>
      <c r="AA52" s="68"/>
      <c r="AC52" s="66"/>
      <c r="AD52" s="66"/>
      <c r="AE52" s="68"/>
      <c r="AF52" s="68"/>
      <c r="AG52" s="68"/>
      <c r="AH52" s="59">
        <v>0.05</v>
      </c>
      <c r="AI52" s="59">
        <v>0.01</v>
      </c>
      <c r="AJ52" s="66"/>
      <c r="AK52" s="66"/>
      <c r="AM52" s="54" t="s">
        <v>74</v>
      </c>
      <c r="AN52" s="54">
        <f>SQRT(AF57/12)</f>
        <v>2.5396966892304995</v>
      </c>
      <c r="AO52" s="56"/>
      <c r="AP52" s="55" t="s">
        <v>85</v>
      </c>
      <c r="AS52" s="66"/>
      <c r="AT52" s="66"/>
      <c r="AU52" s="66"/>
      <c r="AV52" s="66"/>
      <c r="AW52" s="66"/>
      <c r="AX52" s="42">
        <v>0.05</v>
      </c>
      <c r="AY52" s="42">
        <v>0.01</v>
      </c>
      <c r="AZ52" s="66"/>
      <c r="BA52" s="66"/>
    </row>
    <row r="53" spans="1:53" x14ac:dyDescent="0.3">
      <c r="A53" s="10"/>
      <c r="B53" s="13"/>
      <c r="C53" s="66"/>
      <c r="D53" s="39" t="s">
        <v>3</v>
      </c>
      <c r="E53" s="39" t="s">
        <v>4</v>
      </c>
      <c r="F53" s="39" t="s">
        <v>5</v>
      </c>
      <c r="G53" s="39" t="s">
        <v>6</v>
      </c>
      <c r="H53" s="39" t="s">
        <v>3</v>
      </c>
      <c r="I53" s="39" t="s">
        <v>4</v>
      </c>
      <c r="J53" s="39" t="s">
        <v>5</v>
      </c>
      <c r="K53" s="39" t="s">
        <v>6</v>
      </c>
      <c r="L53" s="39" t="s">
        <v>3</v>
      </c>
      <c r="M53" s="39" t="s">
        <v>4</v>
      </c>
      <c r="N53" s="39" t="s">
        <v>5</v>
      </c>
      <c r="O53" s="39" t="s">
        <v>6</v>
      </c>
      <c r="P53" s="40"/>
      <c r="Q53" s="68"/>
      <c r="S53" s="6" t="s">
        <v>44</v>
      </c>
      <c r="T53" s="6">
        <v>3</v>
      </c>
      <c r="V53" s="3" t="s">
        <v>58</v>
      </c>
      <c r="W53" s="35">
        <f>SUM(D54:O54)</f>
        <v>719.1</v>
      </c>
      <c r="X53" s="35">
        <f>SUM(D55:O55)</f>
        <v>800</v>
      </c>
      <c r="Y53" s="35">
        <f>SUM(D56:O56)</f>
        <v>823</v>
      </c>
      <c r="Z53" s="35">
        <f>SUM(W53:Y53)</f>
        <v>2342.1</v>
      </c>
      <c r="AA53" s="53">
        <f>AVERAGE(W53:Y53)</f>
        <v>780.69999999999993</v>
      </c>
      <c r="AC53" s="3" t="s">
        <v>43</v>
      </c>
      <c r="AD53" s="2">
        <f>12-1</f>
        <v>11</v>
      </c>
      <c r="AE53" s="53">
        <f>T57</f>
        <v>463.12990740744863</v>
      </c>
      <c r="AF53" s="53">
        <f>AE53/AD53</f>
        <v>42.102718855222605</v>
      </c>
      <c r="AG53" s="53">
        <f>AF53/AF57</f>
        <v>0.54395777712181459</v>
      </c>
      <c r="AH53" s="53">
        <f>FINV(AH52,AD53,AD57)</f>
        <v>1.8991710184693407</v>
      </c>
      <c r="AI53" s="53">
        <f>FINV(AI52,AD53,AD57)</f>
        <v>2.4560580535880434</v>
      </c>
      <c r="AJ53" s="30" t="s">
        <v>95</v>
      </c>
      <c r="AK53" s="2"/>
      <c r="AM53" s="53" t="s">
        <v>75</v>
      </c>
      <c r="AN53" s="54">
        <v>4.46</v>
      </c>
      <c r="AO53" s="51"/>
      <c r="AP53" s="51"/>
      <c r="AS53" s="3" t="s">
        <v>43</v>
      </c>
      <c r="AT53" s="2">
        <f>12-1</f>
        <v>11</v>
      </c>
      <c r="AU53" s="6">
        <f>SUMSQ(D63:O63)/(3*3)-AT62</f>
        <v>463.12990740744863</v>
      </c>
      <c r="AV53" s="53">
        <f>AU53/AT53</f>
        <v>42.102718855222605</v>
      </c>
      <c r="AW53" s="53">
        <f>AV53/AV58</f>
        <v>0.54395777712181459</v>
      </c>
      <c r="AX53" s="53">
        <f>FINV(AX52,AT53,AT58)</f>
        <v>1.8991710184693407</v>
      </c>
      <c r="AY53" s="53">
        <f>FINV(AY52,AT53,AT58)</f>
        <v>2.4560580535880434</v>
      </c>
      <c r="AZ53" s="2" t="str">
        <f>IF(AW53&gt;AY53,"**",IF(AW53&gt;AX53,"*","TN"))</f>
        <v>TN</v>
      </c>
      <c r="BA53" s="2" t="str">
        <f>IF(AZ53="TN","Tidak Nyata",IF(AZ53="*","Nyata",IF(AZ53="**","Sangat Nyata",0)))</f>
        <v>Tidak Nyata</v>
      </c>
    </row>
    <row r="54" spans="1:53" ht="15.5" x14ac:dyDescent="0.3">
      <c r="A54" s="10"/>
      <c r="B54" s="13"/>
      <c r="C54" s="2" t="s">
        <v>9</v>
      </c>
      <c r="D54" s="34">
        <v>71</v>
      </c>
      <c r="E54" s="34" t="s">
        <v>31</v>
      </c>
      <c r="F54" s="34">
        <v>71</v>
      </c>
      <c r="G54" s="34">
        <v>76</v>
      </c>
      <c r="H54" s="34">
        <v>55.4</v>
      </c>
      <c r="I54" s="34">
        <v>58</v>
      </c>
      <c r="J54" s="34">
        <v>55.6</v>
      </c>
      <c r="K54" s="34">
        <v>61.5</v>
      </c>
      <c r="L54" s="34">
        <v>68</v>
      </c>
      <c r="M54" s="34">
        <v>69</v>
      </c>
      <c r="N54" s="34">
        <v>61</v>
      </c>
      <c r="O54" s="34">
        <v>72.599999999999994</v>
      </c>
      <c r="P54" s="34">
        <f>SUM(D54:O54)</f>
        <v>719.1</v>
      </c>
      <c r="Q54" s="53">
        <f t="shared" ref="Q54:Q62" si="18">AVERAGE(D54:O54)</f>
        <v>65.372727272727275</v>
      </c>
      <c r="S54" s="6" t="s">
        <v>45</v>
      </c>
      <c r="T54" s="6">
        <v>3</v>
      </c>
      <c r="V54" s="3" t="s">
        <v>59</v>
      </c>
      <c r="W54" s="35">
        <f>SUM(D57:O57)</f>
        <v>845.9</v>
      </c>
      <c r="X54" s="35">
        <f>SUM(D58:O58)</f>
        <v>860.19999999999982</v>
      </c>
      <c r="Y54" s="35">
        <f>SUM(D59:O59)</f>
        <v>857.3</v>
      </c>
      <c r="Z54" s="35">
        <f>SUM(W54:Y54)</f>
        <v>2563.3999999999996</v>
      </c>
      <c r="AA54" s="53">
        <f>AVERAGE(W54:Y54)</f>
        <v>854.46666666666658</v>
      </c>
      <c r="AC54" s="3" t="s">
        <v>45</v>
      </c>
      <c r="AD54" s="2">
        <f>3-1</f>
        <v>2</v>
      </c>
      <c r="AE54" s="53">
        <f>T58</f>
        <v>335.72518518514698</v>
      </c>
      <c r="AF54" s="53">
        <f>AE54/AD54</f>
        <v>167.86259259257349</v>
      </c>
      <c r="AG54" s="53">
        <f>AF54/AF57</f>
        <v>2.1687474161121671</v>
      </c>
      <c r="AH54" s="53">
        <f>FINV(AH52,AD54,AD57)</f>
        <v>3.1000686386371408</v>
      </c>
      <c r="AI54" s="53">
        <f>FINV(AI52,AD54,AD57)</f>
        <v>4.8547979993760721</v>
      </c>
      <c r="AJ54" s="30" t="s">
        <v>95</v>
      </c>
      <c r="AK54" s="2"/>
      <c r="AM54" s="53" t="s">
        <v>76</v>
      </c>
      <c r="AN54" s="54">
        <f>AN53*AN52</f>
        <v>11.327047233968027</v>
      </c>
      <c r="AO54" s="51"/>
      <c r="AP54" s="51"/>
      <c r="AS54" s="3" t="s">
        <v>98</v>
      </c>
      <c r="AT54" s="2">
        <f>3*3-1</f>
        <v>8</v>
      </c>
      <c r="AU54" s="53">
        <f>SUMSQ(P54:P62)/12-AT62</f>
        <v>1727.7729629629175</v>
      </c>
      <c r="AV54" s="53">
        <f t="shared" ref="AV54:AV58" si="19">AU54/AT54</f>
        <v>215.97162037036469</v>
      </c>
      <c r="AW54" s="53">
        <f>AV54/AV58</f>
        <v>2.7903053705874226</v>
      </c>
      <c r="AX54" s="53">
        <f>FINV(AX52,AT54,AT58)</f>
        <v>2.0454143150341193</v>
      </c>
      <c r="AY54" s="53">
        <f>FINV(AY52,AT54,AT58)</f>
        <v>2.720181875728696</v>
      </c>
      <c r="AZ54" s="2" t="str">
        <f>IF(AW54&gt;AY54,"**",IF(AW54&gt;AX54,"*","TN"))</f>
        <v>**</v>
      </c>
      <c r="BA54" s="2" t="str">
        <f t="shared" ref="BA54:BA57" si="20">IF(AZ54="TN","Tidak Nyata",IF(AZ54="*","Nyata",IF(AZ54="**","Sangat Nyata",0)))</f>
        <v>Sangat Nyata</v>
      </c>
    </row>
    <row r="55" spans="1:53" ht="15.5" customHeight="1" x14ac:dyDescent="0.3">
      <c r="A55" s="10"/>
      <c r="B55" s="13"/>
      <c r="C55" s="2" t="s">
        <v>10</v>
      </c>
      <c r="D55" s="35">
        <v>69</v>
      </c>
      <c r="E55" s="35">
        <v>66</v>
      </c>
      <c r="F55" s="35">
        <v>65</v>
      </c>
      <c r="G55" s="35">
        <v>67</v>
      </c>
      <c r="H55" s="35">
        <v>66</v>
      </c>
      <c r="I55" s="35">
        <v>65</v>
      </c>
      <c r="J55" s="35">
        <v>64</v>
      </c>
      <c r="K55" s="35">
        <v>68</v>
      </c>
      <c r="L55" s="35">
        <v>69</v>
      </c>
      <c r="M55" s="35">
        <v>66</v>
      </c>
      <c r="N55" s="35">
        <v>67</v>
      </c>
      <c r="O55" s="35">
        <v>68</v>
      </c>
      <c r="P55" s="34">
        <f t="shared" ref="P55:P63" si="21">SUM(D55:O55)</f>
        <v>800</v>
      </c>
      <c r="Q55" s="53">
        <f t="shared" si="18"/>
        <v>66.666666666666671</v>
      </c>
      <c r="S55" s="6" t="s">
        <v>46</v>
      </c>
      <c r="T55" s="51">
        <f>(P63^2)/(12*3*3)</f>
        <v>523266.72453703702</v>
      </c>
      <c r="V55" s="3" t="s">
        <v>60</v>
      </c>
      <c r="W55" s="35">
        <f>SUM(D60:O60)</f>
        <v>851.1</v>
      </c>
      <c r="X55" s="35">
        <f>SUM(D61:O61)</f>
        <v>892.5</v>
      </c>
      <c r="Y55" s="35">
        <f>SUM(D62:O62)</f>
        <v>868.4</v>
      </c>
      <c r="Z55" s="35">
        <f>SUM(W55:Y55)</f>
        <v>2612</v>
      </c>
      <c r="AA55" s="53">
        <f>AVERAGE(W55:Y55)</f>
        <v>870.66666666666663</v>
      </c>
      <c r="AC55" s="3" t="s">
        <v>44</v>
      </c>
      <c r="AD55" s="2">
        <f>3-1</f>
        <v>2</v>
      </c>
      <c r="AE55" s="53">
        <f>T59</f>
        <v>1149.8301851851284</v>
      </c>
      <c r="AF55" s="53">
        <f>AE55/AD55</f>
        <v>574.91509259256418</v>
      </c>
      <c r="AG55" s="53">
        <f>AF55/AF57</f>
        <v>7.4277753148391046</v>
      </c>
      <c r="AH55" s="53">
        <f>FINV(AH52,AD55,AD57)</f>
        <v>3.1000686386371408</v>
      </c>
      <c r="AI55" s="53">
        <f>FINV(AI52,AD55,AD57)</f>
        <v>4.8547979993760721</v>
      </c>
      <c r="AJ55" s="30" t="s">
        <v>72</v>
      </c>
      <c r="AK55" s="2"/>
      <c r="AM55" s="51"/>
      <c r="AN55" s="51"/>
      <c r="AO55" s="51"/>
      <c r="AP55" s="51"/>
      <c r="AS55" s="3" t="s">
        <v>45</v>
      </c>
      <c r="AT55" s="2">
        <f>3-1</f>
        <v>2</v>
      </c>
      <c r="AU55" s="53">
        <f>SUMSQ(W56:Y56)/(3*12)-AT62</f>
        <v>335.72518518514698</v>
      </c>
      <c r="AV55" s="53">
        <f t="shared" si="19"/>
        <v>167.86259259257349</v>
      </c>
      <c r="AW55" s="53">
        <f>AV55/AV58</f>
        <v>2.1687474161121671</v>
      </c>
      <c r="AX55" s="53">
        <f>FINV(AX52,AT55,AT58)</f>
        <v>3.1000686386371408</v>
      </c>
      <c r="AY55" s="53">
        <f>FINV(AY52,AT55,AT58)</f>
        <v>4.8547979993760721</v>
      </c>
      <c r="AZ55" s="2" t="str">
        <f>IF(AW55&gt;AY55,"**",IF(AW55&gt;AX55,"*","TN"))</f>
        <v>TN</v>
      </c>
      <c r="BA55" s="2" t="str">
        <f t="shared" si="20"/>
        <v>Tidak Nyata</v>
      </c>
    </row>
    <row r="56" spans="1:53" ht="15.5" x14ac:dyDescent="0.3">
      <c r="A56" s="10"/>
      <c r="B56" s="13"/>
      <c r="C56" s="2" t="s">
        <v>11</v>
      </c>
      <c r="D56" s="35">
        <v>71</v>
      </c>
      <c r="E56" s="35">
        <v>70</v>
      </c>
      <c r="F56" s="35">
        <v>69</v>
      </c>
      <c r="G56" s="35">
        <v>68</v>
      </c>
      <c r="H56" s="35">
        <v>68</v>
      </c>
      <c r="I56" s="35">
        <v>69</v>
      </c>
      <c r="J56" s="35">
        <v>67</v>
      </c>
      <c r="K56" s="35">
        <v>66</v>
      </c>
      <c r="L56" s="35">
        <v>68</v>
      </c>
      <c r="M56" s="35">
        <v>70</v>
      </c>
      <c r="N56" s="35">
        <v>69</v>
      </c>
      <c r="O56" s="35">
        <v>68</v>
      </c>
      <c r="P56" s="34">
        <f t="shared" si="21"/>
        <v>823</v>
      </c>
      <c r="Q56" s="53">
        <f t="shared" si="18"/>
        <v>68.583333333333329</v>
      </c>
      <c r="S56" s="6" t="s">
        <v>47</v>
      </c>
      <c r="T56" s="51">
        <f>SUMSQ(D54:O62)-T55</f>
        <v>9002.1654629628756</v>
      </c>
      <c r="V56" s="3" t="s">
        <v>33</v>
      </c>
      <c r="W56" s="35">
        <f>SUM(W53:W55)</f>
        <v>2416.1</v>
      </c>
      <c r="X56" s="35">
        <f>SUM(X53:X55)</f>
        <v>2552.6999999999998</v>
      </c>
      <c r="Y56" s="35">
        <f>SUM(Y53:Y55)</f>
        <v>2548.6999999999998</v>
      </c>
      <c r="Z56" s="35">
        <f>SUM(W56:Y56)</f>
        <v>7517.4999999999991</v>
      </c>
      <c r="AA56" s="53">
        <f>AVERAGE(W56:Y56)</f>
        <v>2505.833333333333</v>
      </c>
      <c r="AC56" s="3" t="s">
        <v>69</v>
      </c>
      <c r="AD56" s="2">
        <f>(3-1)*(3-1)</f>
        <v>4</v>
      </c>
      <c r="AE56" s="53">
        <f>T60</f>
        <v>242.21759259264218</v>
      </c>
      <c r="AF56" s="53">
        <f>AE56/AD56</f>
        <v>60.554398148160544</v>
      </c>
      <c r="AG56" s="53">
        <f>AF56/AF57</f>
        <v>0.78234937569920926</v>
      </c>
      <c r="AH56" s="53">
        <f>FINV(AH52,AD56,AD57)</f>
        <v>2.4752774088696223</v>
      </c>
      <c r="AI56" s="53">
        <f>FINV(AI52,AD56,AD57)</f>
        <v>3.5400845421240663</v>
      </c>
      <c r="AJ56" s="30" t="s">
        <v>95</v>
      </c>
      <c r="AK56" s="2"/>
      <c r="AM56" s="54" t="s">
        <v>0</v>
      </c>
      <c r="AN56" s="54" t="s">
        <v>32</v>
      </c>
      <c r="AO56" s="54" t="s">
        <v>67</v>
      </c>
      <c r="AP56" s="54" t="s">
        <v>77</v>
      </c>
      <c r="AS56" s="3" t="s">
        <v>44</v>
      </c>
      <c r="AT56" s="2">
        <f>3-1</f>
        <v>2</v>
      </c>
      <c r="AU56" s="53">
        <f>SUMSQ(Z53:Z55)/(3*12)-AT62</f>
        <v>1149.8301851851284</v>
      </c>
      <c r="AV56" s="53">
        <f t="shared" si="19"/>
        <v>574.91509259256418</v>
      </c>
      <c r="AW56" s="53">
        <f>AV56/AV58</f>
        <v>7.4277753148391046</v>
      </c>
      <c r="AX56" s="53">
        <f>FINV(AX52,AT56,AT58)</f>
        <v>3.1000686386371408</v>
      </c>
      <c r="AY56" s="53">
        <f>FINV(AY52,AT56,AT58)</f>
        <v>4.8547979993760721</v>
      </c>
      <c r="AZ56" s="2" t="str">
        <f>IF(AW56&gt;AY56,"**",IF(AW56&gt;AX56,"*","TN"))</f>
        <v>**</v>
      </c>
      <c r="BA56" s="2" t="str">
        <f t="shared" si="20"/>
        <v>Sangat Nyata</v>
      </c>
    </row>
    <row r="57" spans="1:53" ht="15.5" x14ac:dyDescent="0.3">
      <c r="A57" s="10"/>
      <c r="B57" s="13"/>
      <c r="C57" s="2" t="s">
        <v>12</v>
      </c>
      <c r="D57" s="34">
        <v>76</v>
      </c>
      <c r="E57" s="34">
        <v>64</v>
      </c>
      <c r="F57" s="34">
        <v>76.5</v>
      </c>
      <c r="G57" s="34">
        <v>72</v>
      </c>
      <c r="H57" s="34">
        <v>72.3</v>
      </c>
      <c r="I57" s="34">
        <v>73.5</v>
      </c>
      <c r="J57" s="34">
        <v>73.8</v>
      </c>
      <c r="K57" s="34">
        <v>76</v>
      </c>
      <c r="L57" s="34">
        <v>69.5</v>
      </c>
      <c r="M57" s="34">
        <v>62.3</v>
      </c>
      <c r="N57" s="34">
        <v>62.5</v>
      </c>
      <c r="O57" s="34">
        <v>67.5</v>
      </c>
      <c r="P57" s="34">
        <f t="shared" si="21"/>
        <v>845.9</v>
      </c>
      <c r="Q57" s="53">
        <f t="shared" si="18"/>
        <v>70.49166666666666</v>
      </c>
      <c r="S57" s="6" t="s">
        <v>48</v>
      </c>
      <c r="T57" s="51">
        <f>(SUMSQ(D63:O63)/(3*3))-T55</f>
        <v>463.12990740744863</v>
      </c>
      <c r="V57" s="3" t="s">
        <v>32</v>
      </c>
      <c r="W57" s="53">
        <f>AVERAGE(W53:W55)</f>
        <v>805.36666666666667</v>
      </c>
      <c r="X57" s="53">
        <f>AVERAGE(X53:X55)</f>
        <v>850.9</v>
      </c>
      <c r="Y57" s="53">
        <f>AVERAGE(Y53:Y55)</f>
        <v>849.56666666666661</v>
      </c>
      <c r="Z57" s="33"/>
      <c r="AA57" s="53"/>
      <c r="AC57" s="3" t="s">
        <v>70</v>
      </c>
      <c r="AD57" s="2">
        <f>((3*3)-1)*(12-1)</f>
        <v>88</v>
      </c>
      <c r="AE57" s="53">
        <f>T61</f>
        <v>6811.2625925925095</v>
      </c>
      <c r="AF57" s="53">
        <f>AE57/AD57</f>
        <v>77.400711279460339</v>
      </c>
      <c r="AG57" s="53"/>
      <c r="AH57" s="53"/>
      <c r="AI57" s="53"/>
      <c r="AJ57" s="2"/>
      <c r="AK57" s="2"/>
      <c r="AM57" s="53" t="s">
        <v>9</v>
      </c>
      <c r="AN57" s="53">
        <v>65.372727272727275</v>
      </c>
      <c r="AO57" s="53" t="s">
        <v>93</v>
      </c>
      <c r="AP57" s="53">
        <f>AN57+AN54</f>
        <v>76.699774506695306</v>
      </c>
      <c r="AS57" s="3" t="s">
        <v>69</v>
      </c>
      <c r="AT57" s="2">
        <f>AT55*AT56</f>
        <v>4</v>
      </c>
      <c r="AU57" s="53">
        <f>AU54-AU55-AU56</f>
        <v>242.21759259264218</v>
      </c>
      <c r="AV57" s="53">
        <f t="shared" si="19"/>
        <v>60.554398148160544</v>
      </c>
      <c r="AW57" s="53">
        <f>AV57/AV58</f>
        <v>0.78234937569920926</v>
      </c>
      <c r="AX57" s="53">
        <f>FINV(AX52,AT57,AT58)</f>
        <v>2.4752774088696223</v>
      </c>
      <c r="AY57" s="53">
        <f>FINV(AY52,AT57,AT58)</f>
        <v>3.5400845421240663</v>
      </c>
      <c r="AZ57" s="2" t="str">
        <f>IF(AW57&gt;AY57,"**",IF(AW57&gt;AX57,"*","TN"))</f>
        <v>TN</v>
      </c>
      <c r="BA57" s="2" t="str">
        <f t="shared" si="20"/>
        <v>Tidak Nyata</v>
      </c>
    </row>
    <row r="58" spans="1:53" ht="15.5" x14ac:dyDescent="0.3">
      <c r="A58" s="10"/>
      <c r="B58" s="13"/>
      <c r="C58" s="2" t="s">
        <v>13</v>
      </c>
      <c r="D58" s="34">
        <v>73.900000000000006</v>
      </c>
      <c r="E58" s="34">
        <v>78.5</v>
      </c>
      <c r="F58" s="34">
        <v>74.3</v>
      </c>
      <c r="G58" s="34">
        <v>71.5</v>
      </c>
      <c r="H58" s="34">
        <v>73.5</v>
      </c>
      <c r="I58" s="34">
        <v>76.099999999999994</v>
      </c>
      <c r="J58" s="34">
        <v>78.8</v>
      </c>
      <c r="K58" s="34">
        <v>79.3</v>
      </c>
      <c r="L58" s="34">
        <v>60</v>
      </c>
      <c r="M58" s="34">
        <v>67.099999999999994</v>
      </c>
      <c r="N58" s="34">
        <v>60.8</v>
      </c>
      <c r="O58" s="34">
        <v>66.400000000000006</v>
      </c>
      <c r="P58" s="34">
        <f t="shared" si="21"/>
        <v>860.19999999999982</v>
      </c>
      <c r="Q58" s="53">
        <f t="shared" si="18"/>
        <v>71.683333333333323</v>
      </c>
      <c r="S58" s="6" t="s">
        <v>50</v>
      </c>
      <c r="T58" s="51">
        <f>(SUMSQ(W56:Y56)/(12*3))-T55</f>
        <v>335.72518518514698</v>
      </c>
      <c r="W58" s="44"/>
      <c r="X58" s="44"/>
      <c r="Y58" s="44"/>
      <c r="Z58" s="44"/>
      <c r="AA58" s="51"/>
      <c r="AC58" s="3" t="s">
        <v>33</v>
      </c>
      <c r="AD58" s="2">
        <f>(3*3*12)-1</f>
        <v>107</v>
      </c>
      <c r="AE58" s="53">
        <f>T56</f>
        <v>9002.1654629628756</v>
      </c>
      <c r="AF58" s="53"/>
      <c r="AG58" s="53"/>
      <c r="AH58" s="53"/>
      <c r="AI58" s="53"/>
      <c r="AJ58" s="2"/>
      <c r="AK58" s="2"/>
      <c r="AM58" s="53" t="s">
        <v>10</v>
      </c>
      <c r="AN58" s="53">
        <v>66.666666666666671</v>
      </c>
      <c r="AO58" s="53" t="s">
        <v>93</v>
      </c>
      <c r="AP58" s="53">
        <f>AN58+AN54</f>
        <v>77.993713900634702</v>
      </c>
      <c r="AS58" s="3" t="s">
        <v>70</v>
      </c>
      <c r="AT58" s="2">
        <f>AT59-AT53-AT54</f>
        <v>88</v>
      </c>
      <c r="AU58" s="53">
        <f>AU59-AU53-AU54</f>
        <v>6811.2625925925095</v>
      </c>
      <c r="AV58" s="53">
        <f t="shared" si="19"/>
        <v>77.400711279460339</v>
      </c>
      <c r="AW58" s="53"/>
      <c r="AX58" s="53"/>
      <c r="AY58" s="53"/>
      <c r="AZ58" s="2"/>
      <c r="BA58" s="2"/>
    </row>
    <row r="59" spans="1:53" ht="15.5" x14ac:dyDescent="0.3">
      <c r="A59" s="10"/>
      <c r="B59" s="13"/>
      <c r="C59" s="2" t="s">
        <v>14</v>
      </c>
      <c r="D59" s="34">
        <v>62.8</v>
      </c>
      <c r="E59" s="34">
        <v>85.1</v>
      </c>
      <c r="F59" s="34">
        <v>62.3</v>
      </c>
      <c r="G59" s="34">
        <v>72.099999999999994</v>
      </c>
      <c r="H59" s="34">
        <v>71.599999999999994</v>
      </c>
      <c r="I59" s="34">
        <v>83.1</v>
      </c>
      <c r="J59" s="34">
        <v>70.400000000000006</v>
      </c>
      <c r="K59" s="34">
        <v>77.900000000000006</v>
      </c>
      <c r="L59" s="34">
        <v>72</v>
      </c>
      <c r="M59" s="34">
        <v>65.599999999999994</v>
      </c>
      <c r="N59" s="34">
        <v>68.5</v>
      </c>
      <c r="O59" s="34">
        <v>65.900000000000006</v>
      </c>
      <c r="P59" s="34">
        <f t="shared" si="21"/>
        <v>857.3</v>
      </c>
      <c r="Q59" s="53">
        <f t="shared" si="18"/>
        <v>71.441666666666663</v>
      </c>
      <c r="S59" s="6" t="s">
        <v>49</v>
      </c>
      <c r="T59" s="51">
        <f>(SUMSQ(Z53:Z55)/(12*3))-T55</f>
        <v>1149.8301851851284</v>
      </c>
      <c r="W59" s="44"/>
      <c r="X59" s="44"/>
      <c r="Y59" s="44"/>
      <c r="Z59" s="44"/>
      <c r="AA59" s="51"/>
      <c r="AE59" s="51"/>
      <c r="AF59" s="51"/>
      <c r="AG59" s="51"/>
      <c r="AH59" s="51"/>
      <c r="AI59" s="51"/>
      <c r="AM59" s="53" t="s">
        <v>11</v>
      </c>
      <c r="AN59" s="53">
        <v>68.583333333333329</v>
      </c>
      <c r="AO59" s="53" t="s">
        <v>93</v>
      </c>
      <c r="AP59" s="53">
        <f>AN59+AN54</f>
        <v>79.91038056730136</v>
      </c>
      <c r="AS59" s="3" t="s">
        <v>33</v>
      </c>
      <c r="AT59" s="2">
        <f>(3*3*12)-1</f>
        <v>107</v>
      </c>
      <c r="AU59" s="53">
        <f>SUMSQ(D54:O62)-AT62</f>
        <v>9002.1654629628756</v>
      </c>
      <c r="AV59" s="53"/>
      <c r="AW59" s="53"/>
      <c r="AX59" s="53"/>
      <c r="AY59" s="53"/>
      <c r="AZ59" s="2"/>
      <c r="BA59" s="2"/>
    </row>
    <row r="60" spans="1:53" ht="15.5" x14ac:dyDescent="0.3">
      <c r="A60" s="10"/>
      <c r="B60" s="13"/>
      <c r="C60" s="2" t="s">
        <v>15</v>
      </c>
      <c r="D60" s="34">
        <v>80</v>
      </c>
      <c r="E60" s="34">
        <v>75.3</v>
      </c>
      <c r="F60" s="34">
        <v>79.599999999999994</v>
      </c>
      <c r="G60" s="34">
        <v>80.5</v>
      </c>
      <c r="H60" s="34">
        <v>65</v>
      </c>
      <c r="I60" s="34">
        <v>72</v>
      </c>
      <c r="J60" s="34">
        <v>71</v>
      </c>
      <c r="K60" s="34">
        <v>70</v>
      </c>
      <c r="L60" s="34">
        <v>63.2</v>
      </c>
      <c r="M60" s="34">
        <v>59</v>
      </c>
      <c r="N60" s="34">
        <v>66</v>
      </c>
      <c r="O60" s="34">
        <v>69.5</v>
      </c>
      <c r="P60" s="34">
        <f t="shared" si="21"/>
        <v>851.1</v>
      </c>
      <c r="Q60" s="53">
        <f t="shared" si="18"/>
        <v>70.924999999999997</v>
      </c>
      <c r="S60" s="6" t="s">
        <v>51</v>
      </c>
      <c r="T60" s="51">
        <f>(SUMSQ(W53:Y55)/(12))-T55-T58-T59</f>
        <v>242.21759259264218</v>
      </c>
      <c r="W60" s="44"/>
      <c r="X60" s="44"/>
      <c r="Y60" s="44"/>
      <c r="Z60" s="44"/>
      <c r="AA60" s="51"/>
      <c r="AE60" s="51"/>
      <c r="AF60" s="51"/>
      <c r="AG60" s="51"/>
      <c r="AH60" s="51"/>
      <c r="AI60" s="51"/>
      <c r="AM60" s="53" t="s">
        <v>12</v>
      </c>
      <c r="AN60" s="53">
        <v>70.49166666666666</v>
      </c>
      <c r="AO60" s="53" t="s">
        <v>93</v>
      </c>
      <c r="AP60" s="53">
        <f>AN60+AN54</f>
        <v>81.818713900634691</v>
      </c>
    </row>
    <row r="61" spans="1:53" ht="15.5" x14ac:dyDescent="0.3">
      <c r="A61" s="10"/>
      <c r="B61" s="13"/>
      <c r="C61" s="2" t="s">
        <v>16</v>
      </c>
      <c r="D61" s="34">
        <v>72</v>
      </c>
      <c r="E61" s="34">
        <v>89.2</v>
      </c>
      <c r="F61" s="34">
        <v>74</v>
      </c>
      <c r="G61" s="34">
        <v>81.400000000000006</v>
      </c>
      <c r="H61" s="34">
        <v>70</v>
      </c>
      <c r="I61" s="34">
        <v>72</v>
      </c>
      <c r="J61" s="34">
        <v>75.5</v>
      </c>
      <c r="K61" s="34">
        <v>72.400000000000006</v>
      </c>
      <c r="L61" s="34">
        <v>68</v>
      </c>
      <c r="M61" s="34">
        <v>73</v>
      </c>
      <c r="N61" s="34">
        <v>71</v>
      </c>
      <c r="O61" s="34">
        <v>74</v>
      </c>
      <c r="P61" s="34">
        <f t="shared" si="21"/>
        <v>892.5</v>
      </c>
      <c r="Q61" s="53">
        <f t="shared" si="18"/>
        <v>74.375</v>
      </c>
      <c r="S61" s="6" t="s">
        <v>52</v>
      </c>
      <c r="T61" s="51">
        <f>T56-T57-T58-T59-T60</f>
        <v>6811.2625925925095</v>
      </c>
      <c r="W61" s="44"/>
      <c r="X61" s="44"/>
      <c r="Y61" s="44"/>
      <c r="Z61" s="44"/>
      <c r="AA61" s="51"/>
      <c r="AE61" s="51"/>
      <c r="AF61" s="51"/>
      <c r="AG61" s="51"/>
      <c r="AH61" s="51"/>
      <c r="AI61" s="51"/>
      <c r="AM61" s="53" t="s">
        <v>15</v>
      </c>
      <c r="AN61" s="53">
        <v>70.924999999999997</v>
      </c>
      <c r="AO61" s="53" t="s">
        <v>93</v>
      </c>
      <c r="AP61" s="53">
        <f>AN61+AN54</f>
        <v>82.252047233968028</v>
      </c>
    </row>
    <row r="62" spans="1:53" ht="15.5" x14ac:dyDescent="0.3">
      <c r="A62" s="11"/>
      <c r="B62" s="14"/>
      <c r="C62" s="2" t="s">
        <v>17</v>
      </c>
      <c r="D62" s="34">
        <v>68</v>
      </c>
      <c r="E62" s="34">
        <v>74.599999999999994</v>
      </c>
      <c r="F62" s="34">
        <v>77</v>
      </c>
      <c r="G62" s="34">
        <v>67.400000000000006</v>
      </c>
      <c r="H62" s="34">
        <v>77</v>
      </c>
      <c r="I62" s="34">
        <v>67.400000000000006</v>
      </c>
      <c r="J62" s="34">
        <v>67</v>
      </c>
      <c r="K62" s="34">
        <v>68</v>
      </c>
      <c r="L62" s="34">
        <v>69.5</v>
      </c>
      <c r="M62" s="34">
        <v>65</v>
      </c>
      <c r="N62" s="34">
        <v>83.5</v>
      </c>
      <c r="O62" s="34">
        <v>84</v>
      </c>
      <c r="P62" s="34">
        <f t="shared" si="21"/>
        <v>868.4</v>
      </c>
      <c r="Q62" s="53">
        <f t="shared" si="18"/>
        <v>72.36666666666666</v>
      </c>
      <c r="W62" s="44"/>
      <c r="X62" s="44"/>
      <c r="Y62" s="44"/>
      <c r="Z62" s="44"/>
      <c r="AA62" s="51"/>
      <c r="AE62" s="51"/>
      <c r="AF62" s="51"/>
      <c r="AG62" s="51"/>
      <c r="AH62" s="51"/>
      <c r="AI62" s="51"/>
      <c r="AM62" s="53" t="s">
        <v>14</v>
      </c>
      <c r="AN62" s="53">
        <v>71.441666666666663</v>
      </c>
      <c r="AO62" s="53" t="s">
        <v>93</v>
      </c>
      <c r="AP62" s="53">
        <f>AN62+AN54</f>
        <v>82.768713900634694</v>
      </c>
      <c r="AS62" s="2" t="s">
        <v>46</v>
      </c>
      <c r="AT62" s="53">
        <f>P63^2/(3*3*12)</f>
        <v>523266.72453703702</v>
      </c>
    </row>
    <row r="63" spans="1:53" ht="15.5" x14ac:dyDescent="0.3">
      <c r="A63" s="15"/>
      <c r="B63" s="17"/>
      <c r="C63" s="2" t="s">
        <v>33</v>
      </c>
      <c r="D63" s="34">
        <f>SUM(D54:D62)</f>
        <v>643.70000000000005</v>
      </c>
      <c r="E63" s="34">
        <f t="shared" ref="E63:O63" si="22">SUM(E54:E62)</f>
        <v>602.70000000000005</v>
      </c>
      <c r="F63" s="34">
        <f t="shared" si="22"/>
        <v>648.70000000000005</v>
      </c>
      <c r="G63" s="34">
        <f t="shared" si="22"/>
        <v>655.9</v>
      </c>
      <c r="H63" s="34">
        <f t="shared" si="22"/>
        <v>618.79999999999995</v>
      </c>
      <c r="I63" s="34">
        <f t="shared" si="22"/>
        <v>636.1</v>
      </c>
      <c r="J63" s="34">
        <f t="shared" si="22"/>
        <v>623.1</v>
      </c>
      <c r="K63" s="34">
        <f t="shared" si="22"/>
        <v>639.1</v>
      </c>
      <c r="L63" s="34">
        <f t="shared" si="22"/>
        <v>607.20000000000005</v>
      </c>
      <c r="M63" s="34">
        <f t="shared" si="22"/>
        <v>597</v>
      </c>
      <c r="N63" s="34">
        <f t="shared" si="22"/>
        <v>609.29999999999995</v>
      </c>
      <c r="O63" s="34">
        <f t="shared" si="22"/>
        <v>635.9</v>
      </c>
      <c r="P63" s="34">
        <f t="shared" si="21"/>
        <v>7517.5</v>
      </c>
      <c r="Q63" s="53"/>
      <c r="W63" s="44"/>
      <c r="X63" s="44"/>
      <c r="Y63" s="44"/>
      <c r="Z63" s="44"/>
      <c r="AA63" s="51"/>
      <c r="AE63" s="51"/>
      <c r="AF63" s="51"/>
      <c r="AG63" s="51"/>
      <c r="AH63" s="51"/>
      <c r="AI63" s="51"/>
      <c r="AM63" s="53" t="s">
        <v>13</v>
      </c>
      <c r="AN63" s="53">
        <v>71.683333333333323</v>
      </c>
      <c r="AO63" s="53" t="s">
        <v>93</v>
      </c>
      <c r="AP63" s="53">
        <f>AN63+AN54</f>
        <v>83.010380567301354</v>
      </c>
    </row>
    <row r="64" spans="1:53" ht="15.5" x14ac:dyDescent="0.3">
      <c r="A64" s="15"/>
      <c r="B64" s="17"/>
      <c r="C64" s="2" t="s">
        <v>32</v>
      </c>
      <c r="D64" s="24">
        <f>AVERAGE(D54:D62)</f>
        <v>71.522222222222226</v>
      </c>
      <c r="E64" s="24">
        <f t="shared" ref="E64:O64" si="23">AVERAGE(E54:E62)</f>
        <v>75.337500000000006</v>
      </c>
      <c r="F64" s="24">
        <f t="shared" si="23"/>
        <v>72.077777777777783</v>
      </c>
      <c r="G64" s="24">
        <f t="shared" si="23"/>
        <v>72.87777777777778</v>
      </c>
      <c r="H64" s="24">
        <f t="shared" si="23"/>
        <v>68.755555555555546</v>
      </c>
      <c r="I64" s="24">
        <f t="shared" si="23"/>
        <v>70.677777777777777</v>
      </c>
      <c r="J64" s="24">
        <f t="shared" si="23"/>
        <v>69.233333333333334</v>
      </c>
      <c r="K64" s="24">
        <f t="shared" si="23"/>
        <v>71.01111111111112</v>
      </c>
      <c r="L64" s="24">
        <f t="shared" si="23"/>
        <v>67.466666666666669</v>
      </c>
      <c r="M64" s="24">
        <f t="shared" si="23"/>
        <v>66.333333333333329</v>
      </c>
      <c r="N64" s="24">
        <f t="shared" si="23"/>
        <v>67.699999999999989</v>
      </c>
      <c r="O64" s="24">
        <f t="shared" si="23"/>
        <v>70.655555555555551</v>
      </c>
      <c r="P64" s="34"/>
      <c r="Q64" s="53"/>
      <c r="W64" s="44"/>
      <c r="X64" s="44"/>
      <c r="Y64" s="44"/>
      <c r="Z64" s="44"/>
      <c r="AA64" s="51"/>
      <c r="AE64" s="51"/>
      <c r="AF64" s="51"/>
      <c r="AG64" s="51"/>
      <c r="AH64" s="51"/>
      <c r="AI64" s="51"/>
      <c r="AM64" s="53" t="s">
        <v>17</v>
      </c>
      <c r="AN64" s="53">
        <v>72.36666666666666</v>
      </c>
      <c r="AO64" s="53" t="s">
        <v>93</v>
      </c>
      <c r="AP64" s="53">
        <f>AN64+AN54</f>
        <v>83.693713900634691</v>
      </c>
    </row>
    <row r="65" spans="1:53" ht="15.5" x14ac:dyDescent="0.3">
      <c r="A65" s="5"/>
      <c r="B65" s="5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51"/>
      <c r="W65" s="44"/>
      <c r="X65" s="44"/>
      <c r="Y65" s="44"/>
      <c r="Z65" s="44"/>
      <c r="AA65" s="51"/>
      <c r="AE65" s="51"/>
      <c r="AF65" s="51"/>
      <c r="AG65" s="51"/>
      <c r="AH65" s="51"/>
      <c r="AI65" s="51"/>
      <c r="AM65" s="53" t="s">
        <v>16</v>
      </c>
      <c r="AN65" s="53">
        <v>74.375</v>
      </c>
      <c r="AO65" s="53" t="s">
        <v>93</v>
      </c>
      <c r="AP65" s="53">
        <f>AN65+AN54</f>
        <v>85.702047233968031</v>
      </c>
    </row>
    <row r="66" spans="1:53" ht="14.5" customHeight="1" x14ac:dyDescent="0.3"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51"/>
      <c r="W66" s="44"/>
      <c r="X66" s="44"/>
      <c r="Y66" s="44"/>
      <c r="Z66" s="44"/>
      <c r="AA66" s="51"/>
      <c r="AE66" s="51"/>
      <c r="AF66" s="51"/>
      <c r="AG66" s="51"/>
      <c r="AH66" s="51"/>
      <c r="AI66" s="51"/>
      <c r="AM66" s="51"/>
      <c r="AN66" s="51"/>
      <c r="AO66" s="51"/>
      <c r="AP66" s="51"/>
      <c r="AS66" s="6" t="s">
        <v>97</v>
      </c>
    </row>
    <row r="67" spans="1:53" x14ac:dyDescent="0.3">
      <c r="A67" s="3" t="s">
        <v>18</v>
      </c>
      <c r="B67" s="3" t="s">
        <v>20</v>
      </c>
      <c r="C67" s="65" t="s">
        <v>0</v>
      </c>
      <c r="D67" s="88" t="s">
        <v>1</v>
      </c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90"/>
      <c r="P67" s="37"/>
      <c r="Q67" s="67" t="s">
        <v>32</v>
      </c>
      <c r="V67" s="65" t="s">
        <v>53</v>
      </c>
      <c r="W67" s="81" t="s">
        <v>54</v>
      </c>
      <c r="X67" s="82"/>
      <c r="Y67" s="83"/>
      <c r="Z67" s="84" t="s">
        <v>33</v>
      </c>
      <c r="AA67" s="67" t="s">
        <v>32</v>
      </c>
      <c r="AC67" s="65" t="s">
        <v>61</v>
      </c>
      <c r="AD67" s="65" t="s">
        <v>62</v>
      </c>
      <c r="AE67" s="67" t="s">
        <v>63</v>
      </c>
      <c r="AF67" s="67" t="s">
        <v>64</v>
      </c>
      <c r="AG67" s="67" t="s">
        <v>65</v>
      </c>
      <c r="AH67" s="64" t="s">
        <v>66</v>
      </c>
      <c r="AI67" s="64"/>
      <c r="AJ67" s="65" t="s">
        <v>67</v>
      </c>
      <c r="AK67" s="65" t="s">
        <v>68</v>
      </c>
      <c r="AM67" s="80" t="s">
        <v>80</v>
      </c>
      <c r="AN67" s="80"/>
      <c r="AO67" s="51"/>
      <c r="AP67" s="51"/>
      <c r="AS67" s="65" t="s">
        <v>61</v>
      </c>
      <c r="AT67" s="65" t="s">
        <v>62</v>
      </c>
      <c r="AU67" s="65" t="s">
        <v>63</v>
      </c>
      <c r="AV67" s="65" t="s">
        <v>64</v>
      </c>
      <c r="AW67" s="65" t="s">
        <v>65</v>
      </c>
      <c r="AX67" s="69" t="s">
        <v>66</v>
      </c>
      <c r="AY67" s="69"/>
      <c r="AZ67" s="65" t="s">
        <v>67</v>
      </c>
      <c r="BA67" s="65" t="s">
        <v>68</v>
      </c>
    </row>
    <row r="68" spans="1:53" ht="16.5" customHeight="1" x14ac:dyDescent="0.3">
      <c r="A68" s="65">
        <v>5</v>
      </c>
      <c r="B68" s="74" t="s">
        <v>25</v>
      </c>
      <c r="C68" s="73"/>
      <c r="D68" s="88" t="s">
        <v>2</v>
      </c>
      <c r="E68" s="89"/>
      <c r="F68" s="89"/>
      <c r="G68" s="90"/>
      <c r="H68" s="88" t="s">
        <v>7</v>
      </c>
      <c r="I68" s="89"/>
      <c r="J68" s="89"/>
      <c r="K68" s="90"/>
      <c r="L68" s="88" t="s">
        <v>8</v>
      </c>
      <c r="M68" s="89"/>
      <c r="N68" s="89"/>
      <c r="O68" s="90"/>
      <c r="P68" s="38" t="s">
        <v>33</v>
      </c>
      <c r="Q68" s="77"/>
      <c r="S68" s="6" t="s">
        <v>71</v>
      </c>
      <c r="T68" s="6">
        <v>12</v>
      </c>
      <c r="V68" s="66"/>
      <c r="W68" s="41" t="s">
        <v>55</v>
      </c>
      <c r="X68" s="41" t="s">
        <v>56</v>
      </c>
      <c r="Y68" s="41" t="s">
        <v>57</v>
      </c>
      <c r="Z68" s="85"/>
      <c r="AA68" s="68"/>
      <c r="AC68" s="66"/>
      <c r="AD68" s="66"/>
      <c r="AE68" s="68"/>
      <c r="AF68" s="68"/>
      <c r="AG68" s="68"/>
      <c r="AH68" s="59">
        <v>0.05</v>
      </c>
      <c r="AI68" s="59">
        <v>0.01</v>
      </c>
      <c r="AJ68" s="66"/>
      <c r="AK68" s="66"/>
      <c r="AM68" s="54" t="s">
        <v>74</v>
      </c>
      <c r="AN68" s="54">
        <f>SQRT(AF73/12)</f>
        <v>2.700972904275313</v>
      </c>
      <c r="AO68" s="56"/>
      <c r="AP68" s="55" t="s">
        <v>86</v>
      </c>
      <c r="AS68" s="66"/>
      <c r="AT68" s="66"/>
      <c r="AU68" s="66"/>
      <c r="AV68" s="66"/>
      <c r="AW68" s="66"/>
      <c r="AX68" s="42">
        <v>0.05</v>
      </c>
      <c r="AY68" s="42">
        <v>0.01</v>
      </c>
      <c r="AZ68" s="66"/>
      <c r="BA68" s="66"/>
    </row>
    <row r="69" spans="1:53" x14ac:dyDescent="0.3">
      <c r="A69" s="73"/>
      <c r="B69" s="75"/>
      <c r="C69" s="66"/>
      <c r="D69" s="39" t="s">
        <v>3</v>
      </c>
      <c r="E69" s="39" t="s">
        <v>4</v>
      </c>
      <c r="F69" s="39" t="s">
        <v>5</v>
      </c>
      <c r="G69" s="39" t="s">
        <v>6</v>
      </c>
      <c r="H69" s="39" t="s">
        <v>3</v>
      </c>
      <c r="I69" s="39" t="s">
        <v>4</v>
      </c>
      <c r="J69" s="39" t="s">
        <v>5</v>
      </c>
      <c r="K69" s="39" t="s">
        <v>6</v>
      </c>
      <c r="L69" s="39" t="s">
        <v>3</v>
      </c>
      <c r="M69" s="39" t="s">
        <v>4</v>
      </c>
      <c r="N69" s="39" t="s">
        <v>5</v>
      </c>
      <c r="O69" s="39" t="s">
        <v>6</v>
      </c>
      <c r="P69" s="40"/>
      <c r="Q69" s="68"/>
      <c r="S69" s="6" t="s">
        <v>44</v>
      </c>
      <c r="T69" s="6">
        <v>3</v>
      </c>
      <c r="V69" s="3" t="s">
        <v>58</v>
      </c>
      <c r="W69" s="35">
        <f>SUM(D70:O70)</f>
        <v>937.5</v>
      </c>
      <c r="X69" s="35">
        <f>SUM(D71:O71)</f>
        <v>921</v>
      </c>
      <c r="Y69" s="35">
        <f>SUM(D72:O72)</f>
        <v>922</v>
      </c>
      <c r="Z69" s="35">
        <f>SUM(W69:Y69)</f>
        <v>2780.5</v>
      </c>
      <c r="AA69" s="53">
        <f>AVERAGE(W69:Y69)</f>
        <v>926.83333333333337</v>
      </c>
      <c r="AC69" s="3" t="s">
        <v>43</v>
      </c>
      <c r="AD69" s="2">
        <f>12-1</f>
        <v>11</v>
      </c>
      <c r="AE69" s="53">
        <f>T73</f>
        <v>1237.580277777859</v>
      </c>
      <c r="AF69" s="53">
        <f>AE69/AD69</f>
        <v>112.50729797980536</v>
      </c>
      <c r="AG69" s="53">
        <f>AF69/AF73</f>
        <v>1.2851653082683474</v>
      </c>
      <c r="AH69" s="53">
        <f>FINV(AH68,AD69,AD73)</f>
        <v>1.8991710184693407</v>
      </c>
      <c r="AI69" s="53">
        <f>FINV(AI68,AD69,AD73)</f>
        <v>2.4560580535880434</v>
      </c>
      <c r="AJ69" s="30" t="s">
        <v>95</v>
      </c>
      <c r="AK69" s="2"/>
      <c r="AM69" s="53" t="s">
        <v>75</v>
      </c>
      <c r="AN69" s="54">
        <v>4.46</v>
      </c>
      <c r="AO69" s="51"/>
      <c r="AP69" s="51"/>
      <c r="AS69" s="3" t="s">
        <v>43</v>
      </c>
      <c r="AT69" s="2">
        <f>12-1</f>
        <v>11</v>
      </c>
      <c r="AU69" s="6">
        <f>SUMSQ(D79:O79)/(3*3)-AT78</f>
        <v>1237.580277777859</v>
      </c>
      <c r="AV69" s="53">
        <f>AU69/AT69</f>
        <v>112.50729797980536</v>
      </c>
      <c r="AW69" s="53">
        <f>AV69/AV74</f>
        <v>1.2851653082683474</v>
      </c>
      <c r="AX69" s="53">
        <f>FINV(AX68,AT69,AT74)</f>
        <v>1.8991710184693407</v>
      </c>
      <c r="AY69" s="53">
        <f>FINV(AY68,AT69,AT74)</f>
        <v>2.4560580535880434</v>
      </c>
      <c r="AZ69" s="2" t="str">
        <f>IF(AW69&gt;AY69,"**",IF(AW69&gt;AX69,"*","TN"))</f>
        <v>TN</v>
      </c>
      <c r="BA69" s="2" t="str">
        <f>IF(AZ69="TN","Tidak Nyata",IF(AZ69="*","Nyata",IF(AZ69="**","Sangat Nyata",0)))</f>
        <v>Tidak Nyata</v>
      </c>
    </row>
    <row r="70" spans="1:53" ht="15.5" x14ac:dyDescent="0.3">
      <c r="A70" s="73"/>
      <c r="B70" s="75"/>
      <c r="C70" s="2" t="s">
        <v>9</v>
      </c>
      <c r="D70" s="34">
        <v>83</v>
      </c>
      <c r="E70" s="34">
        <v>80</v>
      </c>
      <c r="F70" s="34">
        <v>74</v>
      </c>
      <c r="G70" s="34">
        <v>89</v>
      </c>
      <c r="H70" s="34">
        <v>74</v>
      </c>
      <c r="I70" s="34">
        <v>79.5</v>
      </c>
      <c r="J70" s="34">
        <v>70</v>
      </c>
      <c r="K70" s="34">
        <v>79</v>
      </c>
      <c r="L70" s="34">
        <v>75</v>
      </c>
      <c r="M70" s="34">
        <v>77</v>
      </c>
      <c r="N70" s="34">
        <v>78</v>
      </c>
      <c r="O70" s="34">
        <v>79</v>
      </c>
      <c r="P70" s="34">
        <f>--SUM(D70:O70)</f>
        <v>937.5</v>
      </c>
      <c r="Q70" s="53">
        <f t="shared" ref="Q70:Q78" si="24">AVERAGE(D70:O70)</f>
        <v>78.125</v>
      </c>
      <c r="S70" s="6" t="s">
        <v>45</v>
      </c>
      <c r="T70" s="6">
        <v>3</v>
      </c>
      <c r="V70" s="3" t="s">
        <v>59</v>
      </c>
      <c r="W70" s="35">
        <f>SUM(D73:O73)</f>
        <v>920.1</v>
      </c>
      <c r="X70" s="35">
        <f>SUM(D74:O74)</f>
        <v>1015.9000000000001</v>
      </c>
      <c r="Y70" s="35">
        <f>SUM(D75:O75)</f>
        <v>926</v>
      </c>
      <c r="Z70" s="35">
        <f>SUM(W70:Y70)</f>
        <v>2862</v>
      </c>
      <c r="AA70" s="53">
        <f>AVERAGE(W70:Y70)</f>
        <v>954</v>
      </c>
      <c r="AC70" s="3" t="s">
        <v>45</v>
      </c>
      <c r="AD70" s="2">
        <f>3-1</f>
        <v>2</v>
      </c>
      <c r="AE70" s="53">
        <f>T74</f>
        <v>356.81555555551313</v>
      </c>
      <c r="AF70" s="53">
        <f>AE70/AD70</f>
        <v>178.40777777775656</v>
      </c>
      <c r="AG70" s="53">
        <f>AF70/AF73</f>
        <v>2.0379432342813608</v>
      </c>
      <c r="AH70" s="53">
        <f>FINV(AH68,AD70,AD73)</f>
        <v>3.1000686386371408</v>
      </c>
      <c r="AI70" s="53">
        <f>FINV(AI68,AD70,AD73)</f>
        <v>4.8547979993760721</v>
      </c>
      <c r="AJ70" s="30" t="s">
        <v>95</v>
      </c>
      <c r="AK70" s="2"/>
      <c r="AM70" s="53" t="s">
        <v>76</v>
      </c>
      <c r="AN70" s="54">
        <f>AN69*AN68</f>
        <v>12.046339153067896</v>
      </c>
      <c r="AO70" s="51"/>
      <c r="AP70" s="51"/>
      <c r="AS70" s="3" t="s">
        <v>98</v>
      </c>
      <c r="AT70" s="2">
        <f>3*3-1</f>
        <v>8</v>
      </c>
      <c r="AU70" s="53">
        <f>SUMSQ(P70:P78)/12-AT78</f>
        <v>4096.0799999999581</v>
      </c>
      <c r="AV70" s="53">
        <f t="shared" ref="AV70:AV74" si="25">AU70/AT70</f>
        <v>512.00999999999476</v>
      </c>
      <c r="AW70" s="53">
        <f>AV70/AV74</f>
        <v>5.8486649426473782</v>
      </c>
      <c r="AX70" s="53">
        <f>FINV(AX68,AT70,AT74)</f>
        <v>2.0454143150341193</v>
      </c>
      <c r="AY70" s="53">
        <f>FINV(AY68,AT70,AT74)</f>
        <v>2.720181875728696</v>
      </c>
      <c r="AZ70" s="2" t="str">
        <f>IF(AW70&gt;AY70,"**",IF(AW70&gt;AX70,"*","TN"))</f>
        <v>**</v>
      </c>
      <c r="BA70" s="2" t="str">
        <f t="shared" ref="BA70:BA73" si="26">IF(AZ70="TN","Tidak Nyata",IF(AZ70="*","Nyata",IF(AZ70="**","Sangat Nyata",0)))</f>
        <v>Sangat Nyata</v>
      </c>
    </row>
    <row r="71" spans="1:53" ht="15.5" x14ac:dyDescent="0.3">
      <c r="A71" s="73"/>
      <c r="B71" s="75"/>
      <c r="C71" s="2" t="s">
        <v>10</v>
      </c>
      <c r="D71" s="35">
        <v>78</v>
      </c>
      <c r="E71" s="35">
        <v>76</v>
      </c>
      <c r="F71" s="35">
        <v>79</v>
      </c>
      <c r="G71" s="35">
        <v>79</v>
      </c>
      <c r="H71" s="35">
        <v>76</v>
      </c>
      <c r="I71" s="35">
        <v>78</v>
      </c>
      <c r="J71" s="35">
        <v>76</v>
      </c>
      <c r="K71" s="35">
        <v>77</v>
      </c>
      <c r="L71" s="35">
        <v>75</v>
      </c>
      <c r="M71" s="35">
        <v>74</v>
      </c>
      <c r="N71" s="35">
        <v>75</v>
      </c>
      <c r="O71" s="35">
        <v>78</v>
      </c>
      <c r="P71" s="34">
        <f t="shared" ref="P71:P79" si="27">--SUM(D71:O71)</f>
        <v>921</v>
      </c>
      <c r="Q71" s="53">
        <f t="shared" si="24"/>
        <v>76.75</v>
      </c>
      <c r="S71" s="6" t="s">
        <v>46</v>
      </c>
      <c r="T71" s="51">
        <f>(P79^2)/(12*3*3)</f>
        <v>731564.70083333342</v>
      </c>
      <c r="V71" s="3" t="s">
        <v>60</v>
      </c>
      <c r="W71" s="35">
        <f>SUM(D76:O76)</f>
        <v>1063.5</v>
      </c>
      <c r="X71" s="35">
        <f>SUM(D77:O77)</f>
        <v>1118.4000000000001</v>
      </c>
      <c r="Y71" s="35">
        <f>SUM(D78:O78)</f>
        <v>1064.3</v>
      </c>
      <c r="Z71" s="35">
        <f>SUM(W71:Y71)</f>
        <v>3246.2</v>
      </c>
      <c r="AA71" s="53">
        <f>AVERAGE(W71:Y71)</f>
        <v>1082.0666666666666</v>
      </c>
      <c r="AC71" s="3" t="s">
        <v>44</v>
      </c>
      <c r="AD71" s="2">
        <f>3-1</f>
        <v>2</v>
      </c>
      <c r="AE71" s="53">
        <f>T75</f>
        <v>3436.3738888887456</v>
      </c>
      <c r="AF71" s="53">
        <f>AE71/AD71</f>
        <v>1718.1869444443728</v>
      </c>
      <c r="AG71" s="53">
        <f>AF71/AF73</f>
        <v>19.626764607891104</v>
      </c>
      <c r="AH71" s="53">
        <f>FINV(AH68,AD71,AD73)</f>
        <v>3.1000686386371408</v>
      </c>
      <c r="AI71" s="53">
        <f>FINV(AI68,AD71,AD73)</f>
        <v>4.8547979993760721</v>
      </c>
      <c r="AJ71" s="30" t="s">
        <v>72</v>
      </c>
      <c r="AK71" s="2"/>
      <c r="AM71" s="51"/>
      <c r="AN71" s="51"/>
      <c r="AO71" s="51"/>
      <c r="AP71" s="51"/>
      <c r="AS71" s="3" t="s">
        <v>45</v>
      </c>
      <c r="AT71" s="2">
        <f>3-1</f>
        <v>2</v>
      </c>
      <c r="AU71" s="53">
        <f>SUMSQ(W72:Y72)/(3*12)-AT78</f>
        <v>356.81555555551313</v>
      </c>
      <c r="AV71" s="53">
        <f t="shared" si="25"/>
        <v>178.40777777775656</v>
      </c>
      <c r="AW71" s="53">
        <f>AV71/AV74</f>
        <v>2.0379432342813608</v>
      </c>
      <c r="AX71" s="53">
        <f>FINV(AX68,AT71,AT74)</f>
        <v>3.1000686386371408</v>
      </c>
      <c r="AY71" s="53">
        <f>FINV(AY68,AT71,AT74)</f>
        <v>4.8547979993760721</v>
      </c>
      <c r="AZ71" s="2" t="str">
        <f>IF(AW71&gt;AY71,"**",IF(AW71&gt;AX71,"*","TN"))</f>
        <v>TN</v>
      </c>
      <c r="BA71" s="2" t="str">
        <f t="shared" si="26"/>
        <v>Tidak Nyata</v>
      </c>
    </row>
    <row r="72" spans="1:53" ht="16" customHeight="1" x14ac:dyDescent="0.3">
      <c r="A72" s="73"/>
      <c r="B72" s="75"/>
      <c r="C72" s="2" t="s">
        <v>11</v>
      </c>
      <c r="D72" s="35">
        <v>79</v>
      </c>
      <c r="E72" s="35">
        <v>77</v>
      </c>
      <c r="F72" s="35">
        <v>78</v>
      </c>
      <c r="G72" s="35">
        <v>77</v>
      </c>
      <c r="H72" s="35">
        <v>75</v>
      </c>
      <c r="I72" s="35">
        <v>75</v>
      </c>
      <c r="J72" s="35">
        <v>76</v>
      </c>
      <c r="K72" s="35">
        <v>75</v>
      </c>
      <c r="L72" s="35">
        <v>76</v>
      </c>
      <c r="M72" s="35">
        <v>78</v>
      </c>
      <c r="N72" s="35">
        <v>79</v>
      </c>
      <c r="O72" s="35">
        <v>77</v>
      </c>
      <c r="P72" s="34">
        <f t="shared" si="27"/>
        <v>922</v>
      </c>
      <c r="Q72" s="53">
        <f t="shared" si="24"/>
        <v>76.833333333333329</v>
      </c>
      <c r="S72" s="6" t="s">
        <v>47</v>
      </c>
      <c r="T72" s="51">
        <f>SUMSQ(D70:O78)-T71</f>
        <v>13037.449166666484</v>
      </c>
      <c r="V72" s="3" t="s">
        <v>33</v>
      </c>
      <c r="W72" s="35">
        <f>SUM(W69:W71)</f>
        <v>2921.1</v>
      </c>
      <c r="X72" s="35">
        <f>SUM(X69:X71)</f>
        <v>3055.3</v>
      </c>
      <c r="Y72" s="35">
        <f>SUM(Y69:Y71)</f>
        <v>2912.3</v>
      </c>
      <c r="Z72" s="35">
        <f>SUM(W72:Y72)</f>
        <v>8888.7000000000007</v>
      </c>
      <c r="AA72" s="53">
        <f>AVERAGE(W72:Y72)</f>
        <v>2962.9</v>
      </c>
      <c r="AC72" s="3" t="s">
        <v>69</v>
      </c>
      <c r="AD72" s="2">
        <f>(3-1)*(3-1)</f>
        <v>4</v>
      </c>
      <c r="AE72" s="53">
        <f>T76</f>
        <v>302.89055555569939</v>
      </c>
      <c r="AF72" s="53">
        <f>AE72/AD72</f>
        <v>75.722638888924848</v>
      </c>
      <c r="AG72" s="53">
        <f>AF72/AF73</f>
        <v>0.86497596420852385</v>
      </c>
      <c r="AH72" s="53">
        <f>FINV(AH68,AD72,AD73)</f>
        <v>2.4752774088696223</v>
      </c>
      <c r="AI72" s="53">
        <f>FINV(AI68,AD72,AD73)</f>
        <v>3.5400845421240663</v>
      </c>
      <c r="AJ72" s="30" t="s">
        <v>95</v>
      </c>
      <c r="AK72" s="2"/>
      <c r="AM72" s="54" t="s">
        <v>0</v>
      </c>
      <c r="AN72" s="54" t="s">
        <v>32</v>
      </c>
      <c r="AO72" s="54" t="s">
        <v>67</v>
      </c>
      <c r="AP72" s="54" t="s">
        <v>77</v>
      </c>
      <c r="AS72" s="3" t="s">
        <v>44</v>
      </c>
      <c r="AT72" s="2">
        <f>3-1</f>
        <v>2</v>
      </c>
      <c r="AU72" s="53">
        <f>SUMSQ(Z69:Z71)/(3*12)-AT78</f>
        <v>3436.3738888887456</v>
      </c>
      <c r="AV72" s="53">
        <f t="shared" si="25"/>
        <v>1718.1869444443728</v>
      </c>
      <c r="AW72" s="53">
        <f>AV72/AV74</f>
        <v>19.626764607891104</v>
      </c>
      <c r="AX72" s="53">
        <f>FINV(AX68,AT72,AT74)</f>
        <v>3.1000686386371408</v>
      </c>
      <c r="AY72" s="53">
        <f>FINV(AY68,AT72,AT74)</f>
        <v>4.8547979993760721</v>
      </c>
      <c r="AZ72" s="2" t="str">
        <f>IF(AW72&gt;AY72,"**",IF(AW72&gt;AX72,"*","TN"))</f>
        <v>**</v>
      </c>
      <c r="BA72" s="2" t="str">
        <f t="shared" si="26"/>
        <v>Sangat Nyata</v>
      </c>
    </row>
    <row r="73" spans="1:53" ht="15.5" x14ac:dyDescent="0.3">
      <c r="A73" s="73"/>
      <c r="B73" s="75"/>
      <c r="C73" s="2" t="s">
        <v>12</v>
      </c>
      <c r="D73" s="34">
        <v>64</v>
      </c>
      <c r="E73" s="34">
        <v>64</v>
      </c>
      <c r="F73" s="34">
        <v>54</v>
      </c>
      <c r="G73" s="34">
        <v>47</v>
      </c>
      <c r="H73" s="34">
        <v>90.5</v>
      </c>
      <c r="I73" s="34">
        <v>91</v>
      </c>
      <c r="J73" s="34">
        <v>95.5</v>
      </c>
      <c r="K73" s="34">
        <v>100</v>
      </c>
      <c r="L73" s="34">
        <v>75.5</v>
      </c>
      <c r="M73" s="34">
        <v>76.400000000000006</v>
      </c>
      <c r="N73" s="34">
        <v>80.2</v>
      </c>
      <c r="O73" s="34">
        <v>82</v>
      </c>
      <c r="P73" s="34">
        <f t="shared" si="27"/>
        <v>920.1</v>
      </c>
      <c r="Q73" s="53">
        <f t="shared" si="24"/>
        <v>76.674999999999997</v>
      </c>
      <c r="S73" s="6" t="s">
        <v>48</v>
      </c>
      <c r="T73" s="51">
        <f>(SUMSQ(D79:O79)/(3*3))-T71</f>
        <v>1237.580277777859</v>
      </c>
      <c r="V73" s="3" t="s">
        <v>32</v>
      </c>
      <c r="W73" s="53">
        <f>AVERAGE(W69:W71)</f>
        <v>973.69999999999993</v>
      </c>
      <c r="X73" s="53">
        <f>AVERAGE(X69:X71)</f>
        <v>1018.4333333333334</v>
      </c>
      <c r="Y73" s="53">
        <f>AVERAGE(Y69:Y71)</f>
        <v>970.76666666666677</v>
      </c>
      <c r="Z73" s="33"/>
      <c r="AA73" s="53"/>
      <c r="AC73" s="3" t="s">
        <v>70</v>
      </c>
      <c r="AD73" s="2">
        <f>((3*3)-1)*(12-1)</f>
        <v>88</v>
      </c>
      <c r="AE73" s="53">
        <f>T77</f>
        <v>7703.7888888886664</v>
      </c>
      <c r="AF73" s="53">
        <f>AE73/AD73</f>
        <v>87.543055555553025</v>
      </c>
      <c r="AG73" s="53"/>
      <c r="AH73" s="53"/>
      <c r="AI73" s="53"/>
      <c r="AJ73" s="2"/>
      <c r="AK73" s="2"/>
      <c r="AM73" s="53" t="s">
        <v>12</v>
      </c>
      <c r="AN73" s="53">
        <v>76.674999999999997</v>
      </c>
      <c r="AO73" s="53" t="s">
        <v>93</v>
      </c>
      <c r="AP73" s="53">
        <f>AN73+AN70</f>
        <v>88.721339153067888</v>
      </c>
      <c r="AS73" s="3" t="s">
        <v>69</v>
      </c>
      <c r="AT73" s="2">
        <f>AT71*AT72</f>
        <v>4</v>
      </c>
      <c r="AU73" s="53">
        <f>AU70-AU71-AU72</f>
        <v>302.89055555569939</v>
      </c>
      <c r="AV73" s="53">
        <f t="shared" si="25"/>
        <v>75.722638888924848</v>
      </c>
      <c r="AW73" s="53">
        <f>AV73/AV74</f>
        <v>0.86497596420852385</v>
      </c>
      <c r="AX73" s="53">
        <f>FINV(AX68,AT73,AT74)</f>
        <v>2.4752774088696223</v>
      </c>
      <c r="AY73" s="53">
        <f>FINV(AY68,AT73,AT74)</f>
        <v>3.5400845421240663</v>
      </c>
      <c r="AZ73" s="2" t="str">
        <f>IF(AW73&gt;AY73,"**",IF(AW73&gt;AX73,"*","TN"))</f>
        <v>TN</v>
      </c>
      <c r="BA73" s="2" t="str">
        <f t="shared" si="26"/>
        <v>Tidak Nyata</v>
      </c>
    </row>
    <row r="74" spans="1:53" ht="15.5" x14ac:dyDescent="0.3">
      <c r="A74" s="73"/>
      <c r="B74" s="75"/>
      <c r="C74" s="2" t="s">
        <v>13</v>
      </c>
      <c r="D74" s="34">
        <v>100.8</v>
      </c>
      <c r="E74" s="34">
        <v>98.2</v>
      </c>
      <c r="F74" s="34">
        <v>95.1</v>
      </c>
      <c r="G74" s="34">
        <v>94.6</v>
      </c>
      <c r="H74" s="34">
        <v>92.6</v>
      </c>
      <c r="I74" s="34">
        <v>84.1</v>
      </c>
      <c r="J74" s="34">
        <v>81.7</v>
      </c>
      <c r="K74" s="34">
        <v>81.8</v>
      </c>
      <c r="L74" s="34">
        <v>75</v>
      </c>
      <c r="M74" s="34">
        <v>76</v>
      </c>
      <c r="N74" s="34">
        <v>64</v>
      </c>
      <c r="O74" s="34">
        <v>72</v>
      </c>
      <c r="P74" s="34">
        <f t="shared" si="27"/>
        <v>1015.9000000000001</v>
      </c>
      <c r="Q74" s="53">
        <f t="shared" si="24"/>
        <v>84.658333333333346</v>
      </c>
      <c r="S74" s="6" t="s">
        <v>50</v>
      </c>
      <c r="T74" s="51">
        <f>(SUMSQ(W72:Y72)/(12*3))-T71</f>
        <v>356.81555555551313</v>
      </c>
      <c r="W74" s="44"/>
      <c r="X74" s="44"/>
      <c r="Y74" s="44"/>
      <c r="Z74" s="44"/>
      <c r="AA74" s="51"/>
      <c r="AC74" s="3" t="s">
        <v>33</v>
      </c>
      <c r="AD74" s="2">
        <f>(3*3*12)-1</f>
        <v>107</v>
      </c>
      <c r="AE74" s="53">
        <f>T72</f>
        <v>13037.449166666484</v>
      </c>
      <c r="AF74" s="53"/>
      <c r="AG74" s="53"/>
      <c r="AH74" s="53"/>
      <c r="AI74" s="53"/>
      <c r="AJ74" s="2"/>
      <c r="AK74" s="2"/>
      <c r="AM74" s="53" t="s">
        <v>10</v>
      </c>
      <c r="AN74" s="53">
        <v>76.75</v>
      </c>
      <c r="AO74" s="53" t="s">
        <v>93</v>
      </c>
      <c r="AP74" s="53">
        <f>AN74+AN70</f>
        <v>88.79633915306789</v>
      </c>
      <c r="AS74" s="3" t="s">
        <v>70</v>
      </c>
      <c r="AT74" s="2">
        <f>AT75-AT69-AT70</f>
        <v>88</v>
      </c>
      <c r="AU74" s="53">
        <f>AU75-AU69-AU70</f>
        <v>7703.7888888886664</v>
      </c>
      <c r="AV74" s="53">
        <f t="shared" si="25"/>
        <v>87.543055555553025</v>
      </c>
      <c r="AW74" s="53"/>
      <c r="AX74" s="53"/>
      <c r="AY74" s="53"/>
      <c r="AZ74" s="2"/>
      <c r="BA74" s="2"/>
    </row>
    <row r="75" spans="1:53" ht="15.5" x14ac:dyDescent="0.3">
      <c r="A75" s="73"/>
      <c r="B75" s="75"/>
      <c r="C75" s="2" t="s">
        <v>14</v>
      </c>
      <c r="D75" s="34">
        <v>95.5</v>
      </c>
      <c r="E75" s="34">
        <v>94</v>
      </c>
      <c r="F75" s="34">
        <v>95</v>
      </c>
      <c r="G75" s="34">
        <v>94.5</v>
      </c>
      <c r="H75" s="34">
        <v>79.599999999999994</v>
      </c>
      <c r="I75" s="34">
        <v>65</v>
      </c>
      <c r="J75" s="34">
        <v>67.099999999999994</v>
      </c>
      <c r="K75" s="34">
        <v>49.8</v>
      </c>
      <c r="L75" s="34">
        <v>68.2</v>
      </c>
      <c r="M75" s="34">
        <v>73.8</v>
      </c>
      <c r="N75" s="34">
        <v>70.5</v>
      </c>
      <c r="O75" s="34">
        <v>73</v>
      </c>
      <c r="P75" s="34">
        <f t="shared" si="27"/>
        <v>926</v>
      </c>
      <c r="Q75" s="53">
        <f t="shared" si="24"/>
        <v>77.166666666666671</v>
      </c>
      <c r="S75" s="6" t="s">
        <v>49</v>
      </c>
      <c r="T75" s="51">
        <f>(SUMSQ(Z69:Z71)/(12*3))-T71</f>
        <v>3436.3738888887456</v>
      </c>
      <c r="W75" s="44"/>
      <c r="X75" s="44"/>
      <c r="Y75" s="44"/>
      <c r="Z75" s="44"/>
      <c r="AA75" s="51"/>
      <c r="AE75" s="51"/>
      <c r="AF75" s="51"/>
      <c r="AG75" s="51"/>
      <c r="AH75" s="51"/>
      <c r="AI75" s="51"/>
      <c r="AM75" s="53" t="s">
        <v>11</v>
      </c>
      <c r="AN75" s="53">
        <v>76.833333333333329</v>
      </c>
      <c r="AO75" s="53" t="s">
        <v>93</v>
      </c>
      <c r="AP75" s="53">
        <f>AN75+AN70</f>
        <v>88.879672486401219</v>
      </c>
      <c r="AS75" s="3" t="s">
        <v>33</v>
      </c>
      <c r="AT75" s="2">
        <f>(3*3*12)-1</f>
        <v>107</v>
      </c>
      <c r="AU75" s="53">
        <f>SUMSQ(D70:O78)-AT78</f>
        <v>13037.449166666484</v>
      </c>
      <c r="AV75" s="53"/>
      <c r="AW75" s="53"/>
      <c r="AX75" s="53"/>
      <c r="AY75" s="53"/>
      <c r="AZ75" s="2"/>
      <c r="BA75" s="2"/>
    </row>
    <row r="76" spans="1:53" ht="15.5" x14ac:dyDescent="0.3">
      <c r="A76" s="73"/>
      <c r="B76" s="75"/>
      <c r="C76" s="2" t="s">
        <v>15</v>
      </c>
      <c r="D76" s="34">
        <v>101</v>
      </c>
      <c r="E76" s="34">
        <v>97</v>
      </c>
      <c r="F76" s="34">
        <v>97.5</v>
      </c>
      <c r="G76" s="34">
        <v>106</v>
      </c>
      <c r="H76" s="34">
        <v>86</v>
      </c>
      <c r="I76" s="34">
        <v>87</v>
      </c>
      <c r="J76" s="34">
        <v>89</v>
      </c>
      <c r="K76" s="34">
        <v>91</v>
      </c>
      <c r="L76" s="34">
        <v>79</v>
      </c>
      <c r="M76" s="34">
        <v>69</v>
      </c>
      <c r="N76" s="34">
        <v>78</v>
      </c>
      <c r="O76" s="34">
        <v>83</v>
      </c>
      <c r="P76" s="34">
        <f t="shared" si="27"/>
        <v>1063.5</v>
      </c>
      <c r="Q76" s="53">
        <f t="shared" si="24"/>
        <v>88.625</v>
      </c>
      <c r="S76" s="6" t="s">
        <v>51</v>
      </c>
      <c r="T76" s="51">
        <f>(SUMSQ(W69:Y71)/(12))-T71-T74-T75</f>
        <v>302.89055555569939</v>
      </c>
      <c r="W76" s="44"/>
      <c r="X76" s="44"/>
      <c r="Y76" s="44"/>
      <c r="Z76" s="44"/>
      <c r="AA76" s="51"/>
      <c r="AE76" s="51"/>
      <c r="AF76" s="51"/>
      <c r="AG76" s="51"/>
      <c r="AH76" s="51"/>
      <c r="AI76" s="51"/>
      <c r="AM76" s="53" t="s">
        <v>14</v>
      </c>
      <c r="AN76" s="53">
        <v>77.166666666666671</v>
      </c>
      <c r="AO76" s="53" t="s">
        <v>93</v>
      </c>
      <c r="AP76" s="53">
        <f>AN76+AN70</f>
        <v>89.213005819734562</v>
      </c>
    </row>
    <row r="77" spans="1:53" ht="15.5" x14ac:dyDescent="0.3">
      <c r="A77" s="73"/>
      <c r="B77" s="75"/>
      <c r="C77" s="2" t="s">
        <v>16</v>
      </c>
      <c r="D77" s="34">
        <v>96</v>
      </c>
      <c r="E77" s="34">
        <v>99</v>
      </c>
      <c r="F77" s="34">
        <v>93</v>
      </c>
      <c r="G77" s="34">
        <v>93.3</v>
      </c>
      <c r="H77" s="34">
        <v>93.8</v>
      </c>
      <c r="I77" s="34">
        <v>89.3</v>
      </c>
      <c r="J77" s="34">
        <v>94.5</v>
      </c>
      <c r="K77" s="34">
        <v>93.5</v>
      </c>
      <c r="L77" s="34">
        <v>89</v>
      </c>
      <c r="M77" s="34">
        <v>90</v>
      </c>
      <c r="N77" s="34">
        <v>97</v>
      </c>
      <c r="O77" s="34">
        <v>90</v>
      </c>
      <c r="P77" s="34">
        <f t="shared" si="27"/>
        <v>1118.4000000000001</v>
      </c>
      <c r="Q77" s="53">
        <f t="shared" si="24"/>
        <v>93.2</v>
      </c>
      <c r="S77" s="6" t="s">
        <v>52</v>
      </c>
      <c r="T77" s="51">
        <f>T72-T73-T74-T75-T76</f>
        <v>7703.7888888886664</v>
      </c>
      <c r="W77" s="44"/>
      <c r="X77" s="44"/>
      <c r="Y77" s="44"/>
      <c r="Z77" s="44"/>
      <c r="AA77" s="51"/>
      <c r="AE77" s="51"/>
      <c r="AF77" s="51"/>
      <c r="AG77" s="51"/>
      <c r="AH77" s="51"/>
      <c r="AI77" s="51"/>
      <c r="AM77" s="53" t="s">
        <v>9</v>
      </c>
      <c r="AN77" s="53">
        <v>78.125</v>
      </c>
      <c r="AO77" s="53" t="s">
        <v>93</v>
      </c>
      <c r="AP77" s="53">
        <f>AN77+AN70</f>
        <v>90.17133915306789</v>
      </c>
    </row>
    <row r="78" spans="1:53" ht="15.5" x14ac:dyDescent="0.3">
      <c r="A78" s="73"/>
      <c r="B78" s="75"/>
      <c r="C78" s="2" t="s">
        <v>17</v>
      </c>
      <c r="D78" s="34">
        <v>84</v>
      </c>
      <c r="E78" s="34">
        <v>95</v>
      </c>
      <c r="F78" s="34">
        <v>92.3</v>
      </c>
      <c r="G78" s="34">
        <v>95.5</v>
      </c>
      <c r="H78" s="34">
        <v>93</v>
      </c>
      <c r="I78" s="34">
        <v>91</v>
      </c>
      <c r="J78" s="34">
        <v>89.5</v>
      </c>
      <c r="K78" s="34">
        <v>91</v>
      </c>
      <c r="L78" s="34">
        <v>77</v>
      </c>
      <c r="M78" s="34">
        <v>82</v>
      </c>
      <c r="N78" s="34">
        <v>87</v>
      </c>
      <c r="O78" s="34">
        <v>87</v>
      </c>
      <c r="P78" s="34">
        <f t="shared" si="27"/>
        <v>1064.3</v>
      </c>
      <c r="Q78" s="53">
        <f t="shared" si="24"/>
        <v>88.691666666666663</v>
      </c>
      <c r="W78" s="44"/>
      <c r="X78" s="44"/>
      <c r="Y78" s="44"/>
      <c r="Z78" s="44"/>
      <c r="AA78" s="51"/>
      <c r="AE78" s="51"/>
      <c r="AF78" s="51"/>
      <c r="AG78" s="51"/>
      <c r="AH78" s="51"/>
      <c r="AI78" s="51"/>
      <c r="AM78" s="53" t="s">
        <v>13</v>
      </c>
      <c r="AN78" s="53">
        <v>84.658333333333346</v>
      </c>
      <c r="AO78" s="53" t="s">
        <v>99</v>
      </c>
      <c r="AP78" s="53">
        <f>AN78+AN70</f>
        <v>96.704672486401236</v>
      </c>
      <c r="AS78" s="2" t="s">
        <v>46</v>
      </c>
      <c r="AT78" s="53">
        <f>P79^2/(3*3*12)</f>
        <v>731564.70083333342</v>
      </c>
    </row>
    <row r="79" spans="1:53" ht="15.5" x14ac:dyDescent="0.3">
      <c r="A79" s="73"/>
      <c r="B79" s="75"/>
      <c r="C79" s="2" t="s">
        <v>33</v>
      </c>
      <c r="D79" s="34">
        <f>SUM(D70:D78)</f>
        <v>781.3</v>
      </c>
      <c r="E79" s="34">
        <f t="shared" ref="E79:O79" si="28">SUM(E70:E78)</f>
        <v>780.2</v>
      </c>
      <c r="F79" s="34">
        <f t="shared" si="28"/>
        <v>757.9</v>
      </c>
      <c r="G79" s="34">
        <f t="shared" si="28"/>
        <v>775.9</v>
      </c>
      <c r="H79" s="34">
        <f t="shared" si="28"/>
        <v>760.5</v>
      </c>
      <c r="I79" s="34">
        <f t="shared" si="28"/>
        <v>739.9</v>
      </c>
      <c r="J79" s="34">
        <f t="shared" si="28"/>
        <v>739.3</v>
      </c>
      <c r="K79" s="34">
        <f t="shared" si="28"/>
        <v>738.1</v>
      </c>
      <c r="L79" s="34">
        <f t="shared" si="28"/>
        <v>689.7</v>
      </c>
      <c r="M79" s="34">
        <f t="shared" si="28"/>
        <v>696.2</v>
      </c>
      <c r="N79" s="34">
        <f t="shared" si="28"/>
        <v>708.7</v>
      </c>
      <c r="O79" s="34">
        <f t="shared" si="28"/>
        <v>721</v>
      </c>
      <c r="P79" s="34">
        <f t="shared" si="27"/>
        <v>8888.7000000000007</v>
      </c>
      <c r="Q79" s="53"/>
      <c r="W79" s="44"/>
      <c r="X79" s="44"/>
      <c r="Y79" s="44"/>
      <c r="Z79" s="44"/>
      <c r="AA79" s="51"/>
      <c r="AE79" s="51"/>
      <c r="AF79" s="51"/>
      <c r="AG79" s="51"/>
      <c r="AH79" s="51"/>
      <c r="AI79" s="51"/>
      <c r="AM79" s="53" t="s">
        <v>15</v>
      </c>
      <c r="AN79" s="53">
        <v>88.625</v>
      </c>
      <c r="AO79" s="53" t="s">
        <v>99</v>
      </c>
      <c r="AP79" s="53">
        <f>AN79+AN70</f>
        <v>100.67133915306789</v>
      </c>
    </row>
    <row r="80" spans="1:53" ht="15.5" x14ac:dyDescent="0.3">
      <c r="A80" s="66"/>
      <c r="B80" s="76"/>
      <c r="C80" s="2" t="s">
        <v>32</v>
      </c>
      <c r="D80" s="24">
        <f>AVERAGE(D70:D78)</f>
        <v>86.811111111111103</v>
      </c>
      <c r="E80" s="24">
        <f t="shared" ref="E80:O80" si="29">AVERAGE(E70:E78)</f>
        <v>86.688888888888897</v>
      </c>
      <c r="F80" s="24">
        <f t="shared" si="29"/>
        <v>84.211111111111109</v>
      </c>
      <c r="G80" s="24">
        <f t="shared" si="29"/>
        <v>86.211111111111109</v>
      </c>
      <c r="H80" s="24">
        <f t="shared" si="29"/>
        <v>84.5</v>
      </c>
      <c r="I80" s="24">
        <f t="shared" si="29"/>
        <v>82.211111111111109</v>
      </c>
      <c r="J80" s="24">
        <f t="shared" si="29"/>
        <v>82.144444444444446</v>
      </c>
      <c r="K80" s="24">
        <f t="shared" si="29"/>
        <v>82.01111111111112</v>
      </c>
      <c r="L80" s="24">
        <f t="shared" si="29"/>
        <v>76.63333333333334</v>
      </c>
      <c r="M80" s="24">
        <f t="shared" si="29"/>
        <v>77.355555555555554</v>
      </c>
      <c r="N80" s="24">
        <f t="shared" si="29"/>
        <v>78.744444444444454</v>
      </c>
      <c r="O80" s="24">
        <f t="shared" si="29"/>
        <v>80.111111111111114</v>
      </c>
      <c r="P80" s="34"/>
      <c r="Q80" s="53"/>
      <c r="W80" s="44"/>
      <c r="X80" s="44"/>
      <c r="Y80" s="44"/>
      <c r="Z80" s="44"/>
      <c r="AA80" s="51"/>
      <c r="AE80" s="51"/>
      <c r="AF80" s="51"/>
      <c r="AG80" s="51"/>
      <c r="AH80" s="51"/>
      <c r="AI80" s="51"/>
      <c r="AM80" s="53" t="s">
        <v>17</v>
      </c>
      <c r="AN80" s="53">
        <v>88.691666666666663</v>
      </c>
      <c r="AO80" s="53" t="s">
        <v>99</v>
      </c>
      <c r="AP80" s="53">
        <f>AN80+AN70</f>
        <v>100.73800581973455</v>
      </c>
    </row>
    <row r="81" spans="1:53" ht="15.5" x14ac:dyDescent="0.3">
      <c r="A81" s="5"/>
      <c r="B81" s="5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51"/>
      <c r="W81" s="44"/>
      <c r="X81" s="44"/>
      <c r="Y81" s="44"/>
      <c r="Z81" s="44"/>
      <c r="AA81" s="51"/>
      <c r="AE81" s="51"/>
      <c r="AF81" s="51"/>
      <c r="AG81" s="51"/>
      <c r="AH81" s="51"/>
      <c r="AI81" s="51"/>
      <c r="AM81" s="53" t="s">
        <v>16</v>
      </c>
      <c r="AN81" s="53">
        <v>93.2</v>
      </c>
      <c r="AO81" s="53" t="s">
        <v>94</v>
      </c>
      <c r="AP81" s="53">
        <f>AN81+AN70</f>
        <v>105.24633915306789</v>
      </c>
    </row>
    <row r="82" spans="1:53" ht="14.5" customHeight="1" x14ac:dyDescent="0.3"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51"/>
      <c r="W82" s="44"/>
      <c r="X82" s="44"/>
      <c r="Y82" s="44"/>
      <c r="Z82" s="44"/>
      <c r="AA82" s="51"/>
      <c r="AE82" s="51"/>
      <c r="AF82" s="51"/>
      <c r="AG82" s="51"/>
      <c r="AH82" s="51"/>
      <c r="AI82" s="51"/>
      <c r="AM82" s="51"/>
      <c r="AN82" s="51"/>
      <c r="AO82" s="51"/>
      <c r="AP82" s="51"/>
      <c r="AS82" s="6" t="s">
        <v>97</v>
      </c>
    </row>
    <row r="83" spans="1:53" x14ac:dyDescent="0.3">
      <c r="A83" s="3" t="s">
        <v>18</v>
      </c>
      <c r="B83" s="3" t="s">
        <v>20</v>
      </c>
      <c r="C83" s="65" t="s">
        <v>0</v>
      </c>
      <c r="D83" s="88" t="s">
        <v>1</v>
      </c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90"/>
      <c r="P83" s="37"/>
      <c r="Q83" s="67" t="s">
        <v>32</v>
      </c>
      <c r="V83" s="65" t="s">
        <v>53</v>
      </c>
      <c r="W83" s="81" t="s">
        <v>54</v>
      </c>
      <c r="X83" s="82"/>
      <c r="Y83" s="83"/>
      <c r="Z83" s="84" t="s">
        <v>33</v>
      </c>
      <c r="AA83" s="67" t="s">
        <v>32</v>
      </c>
      <c r="AC83" s="65" t="s">
        <v>61</v>
      </c>
      <c r="AD83" s="65" t="s">
        <v>62</v>
      </c>
      <c r="AE83" s="67" t="s">
        <v>63</v>
      </c>
      <c r="AF83" s="67" t="s">
        <v>64</v>
      </c>
      <c r="AG83" s="67" t="s">
        <v>65</v>
      </c>
      <c r="AH83" s="64" t="s">
        <v>66</v>
      </c>
      <c r="AI83" s="64"/>
      <c r="AJ83" s="65" t="s">
        <v>67</v>
      </c>
      <c r="AK83" s="65" t="s">
        <v>68</v>
      </c>
      <c r="AM83" s="80" t="s">
        <v>80</v>
      </c>
      <c r="AN83" s="80"/>
      <c r="AO83" s="51"/>
      <c r="AP83" s="51"/>
      <c r="AS83" s="65" t="s">
        <v>61</v>
      </c>
      <c r="AT83" s="65" t="s">
        <v>62</v>
      </c>
      <c r="AU83" s="65" t="s">
        <v>63</v>
      </c>
      <c r="AV83" s="65" t="s">
        <v>64</v>
      </c>
      <c r="AW83" s="65" t="s">
        <v>65</v>
      </c>
      <c r="AX83" s="69" t="s">
        <v>66</v>
      </c>
      <c r="AY83" s="69"/>
      <c r="AZ83" s="65" t="s">
        <v>67</v>
      </c>
      <c r="BA83" s="65" t="s">
        <v>68</v>
      </c>
    </row>
    <row r="84" spans="1:53" ht="15" customHeight="1" x14ac:dyDescent="0.3">
      <c r="A84" s="65">
        <v>6</v>
      </c>
      <c r="B84" s="74" t="s">
        <v>26</v>
      </c>
      <c r="C84" s="73"/>
      <c r="D84" s="88" t="s">
        <v>2</v>
      </c>
      <c r="E84" s="89"/>
      <c r="F84" s="89"/>
      <c r="G84" s="90"/>
      <c r="H84" s="88" t="s">
        <v>7</v>
      </c>
      <c r="I84" s="89"/>
      <c r="J84" s="89"/>
      <c r="K84" s="90"/>
      <c r="L84" s="88" t="s">
        <v>8</v>
      </c>
      <c r="M84" s="89"/>
      <c r="N84" s="89"/>
      <c r="O84" s="90"/>
      <c r="P84" s="38" t="s">
        <v>33</v>
      </c>
      <c r="Q84" s="77"/>
      <c r="S84" s="6" t="s">
        <v>71</v>
      </c>
      <c r="T84" s="6">
        <v>12</v>
      </c>
      <c r="V84" s="66"/>
      <c r="W84" s="41" t="s">
        <v>55</v>
      </c>
      <c r="X84" s="41" t="s">
        <v>56</v>
      </c>
      <c r="Y84" s="41" t="s">
        <v>57</v>
      </c>
      <c r="Z84" s="85"/>
      <c r="AA84" s="68"/>
      <c r="AC84" s="66"/>
      <c r="AD84" s="66"/>
      <c r="AE84" s="68"/>
      <c r="AF84" s="68"/>
      <c r="AG84" s="68"/>
      <c r="AH84" s="59">
        <v>0.05</v>
      </c>
      <c r="AI84" s="59">
        <v>0.01</v>
      </c>
      <c r="AJ84" s="66"/>
      <c r="AK84" s="66"/>
      <c r="AM84" s="54" t="s">
        <v>74</v>
      </c>
      <c r="AN84" s="54">
        <f>SQRT(AF89/12)</f>
        <v>3.3091500965764937</v>
      </c>
      <c r="AO84" s="56"/>
      <c r="AP84" s="55" t="s">
        <v>87</v>
      </c>
      <c r="AS84" s="66"/>
      <c r="AT84" s="66"/>
      <c r="AU84" s="66"/>
      <c r="AV84" s="66"/>
      <c r="AW84" s="66"/>
      <c r="AX84" s="42">
        <v>0.05</v>
      </c>
      <c r="AY84" s="42">
        <v>0.01</v>
      </c>
      <c r="AZ84" s="66"/>
      <c r="BA84" s="66"/>
    </row>
    <row r="85" spans="1:53" x14ac:dyDescent="0.3">
      <c r="A85" s="73"/>
      <c r="B85" s="75"/>
      <c r="C85" s="66"/>
      <c r="D85" s="39" t="s">
        <v>3</v>
      </c>
      <c r="E85" s="39" t="s">
        <v>4</v>
      </c>
      <c r="F85" s="39" t="s">
        <v>5</v>
      </c>
      <c r="G85" s="39" t="s">
        <v>6</v>
      </c>
      <c r="H85" s="39" t="s">
        <v>3</v>
      </c>
      <c r="I85" s="39" t="s">
        <v>4</v>
      </c>
      <c r="J85" s="39" t="s">
        <v>5</v>
      </c>
      <c r="K85" s="39" t="s">
        <v>6</v>
      </c>
      <c r="L85" s="39" t="s">
        <v>3</v>
      </c>
      <c r="M85" s="39" t="s">
        <v>4</v>
      </c>
      <c r="N85" s="39" t="s">
        <v>5</v>
      </c>
      <c r="O85" s="39" t="s">
        <v>6</v>
      </c>
      <c r="P85" s="40"/>
      <c r="Q85" s="68"/>
      <c r="S85" s="6" t="s">
        <v>44</v>
      </c>
      <c r="T85" s="6">
        <v>3</v>
      </c>
      <c r="V85" s="3" t="s">
        <v>58</v>
      </c>
      <c r="W85" s="35">
        <f>SUM(D86:O86)</f>
        <v>1028.9000000000001</v>
      </c>
      <c r="X85" s="35">
        <f>SUM(D87:O87)</f>
        <v>1066</v>
      </c>
      <c r="Y85" s="35">
        <f>SUM(D88:O88)</f>
        <v>1062</v>
      </c>
      <c r="Z85" s="35">
        <f>SUM(W85:Y85)</f>
        <v>3156.9</v>
      </c>
      <c r="AA85" s="53">
        <f>AVERAGE(W85:Y85)</f>
        <v>1052.3</v>
      </c>
      <c r="AC85" s="3" t="s">
        <v>43</v>
      </c>
      <c r="AD85" s="2">
        <f>12-1</f>
        <v>11</v>
      </c>
      <c r="AE85" s="53">
        <f>T89</f>
        <v>2479.503240740858</v>
      </c>
      <c r="AF85" s="53">
        <f>AE85/AD85</f>
        <v>225.40938552189618</v>
      </c>
      <c r="AG85" s="53">
        <f>AF85/AF89</f>
        <v>1.7153700232297098</v>
      </c>
      <c r="AH85" s="53">
        <f>FINV(AH84,AD85,AD89)</f>
        <v>1.8991710184693407</v>
      </c>
      <c r="AI85" s="53">
        <f>FINV(AI84,AD85,AD89)</f>
        <v>2.4560580535880434</v>
      </c>
      <c r="AJ85" s="30" t="s">
        <v>95</v>
      </c>
      <c r="AK85" s="2"/>
      <c r="AM85" s="53" t="s">
        <v>75</v>
      </c>
      <c r="AN85" s="54">
        <v>4.46</v>
      </c>
      <c r="AO85" s="51"/>
      <c r="AP85" s="51"/>
      <c r="AS85" s="3" t="s">
        <v>43</v>
      </c>
      <c r="AT85" s="2">
        <f>12-1</f>
        <v>11</v>
      </c>
      <c r="AU85" s="6">
        <f>SUMSQ(D95:O95)/(3*3)-AT94</f>
        <v>2479.503240740858</v>
      </c>
      <c r="AV85" s="53">
        <f>AU85/AT85</f>
        <v>225.40938552189618</v>
      </c>
      <c r="AW85" s="53">
        <f>AV85/AV90</f>
        <v>1.7153700232297098</v>
      </c>
      <c r="AX85" s="53">
        <f>FINV(AX84,AT85,AT90)</f>
        <v>1.8991710184693407</v>
      </c>
      <c r="AY85" s="53">
        <f>FINV(AY84,AT85,AT90)</f>
        <v>2.4560580535880434</v>
      </c>
      <c r="AZ85" s="2" t="str">
        <f>IF(AW85&gt;AY85,"**",IF(AW85&gt;AX85,"*","TN"))</f>
        <v>TN</v>
      </c>
      <c r="BA85" s="2" t="str">
        <f>IF(AZ85="TN","Tidak Nyata",IF(AZ85="*","Nyata",IF(AZ85="**","Sangat Nyata",0)))</f>
        <v>Tidak Nyata</v>
      </c>
    </row>
    <row r="86" spans="1:53" ht="15.5" x14ac:dyDescent="0.3">
      <c r="A86" s="73"/>
      <c r="B86" s="75"/>
      <c r="C86" s="2" t="s">
        <v>9</v>
      </c>
      <c r="D86" s="34">
        <v>91</v>
      </c>
      <c r="E86" s="34">
        <v>89</v>
      </c>
      <c r="F86" s="34">
        <v>87</v>
      </c>
      <c r="G86" s="34">
        <v>91</v>
      </c>
      <c r="H86" s="34">
        <v>78</v>
      </c>
      <c r="I86" s="34">
        <v>87</v>
      </c>
      <c r="J86" s="34">
        <v>78</v>
      </c>
      <c r="K86" s="34">
        <v>86.5</v>
      </c>
      <c r="L86" s="34">
        <v>85</v>
      </c>
      <c r="M86" s="34">
        <v>83</v>
      </c>
      <c r="N86" s="34">
        <v>79</v>
      </c>
      <c r="O86" s="34">
        <v>94.4</v>
      </c>
      <c r="P86" s="34">
        <f>SUM(D86:O86)</f>
        <v>1028.9000000000001</v>
      </c>
      <c r="Q86" s="53">
        <f>AVERAGE(D86:O86)</f>
        <v>85.741666666666674</v>
      </c>
      <c r="S86" s="6" t="s">
        <v>45</v>
      </c>
      <c r="T86" s="6">
        <v>3</v>
      </c>
      <c r="V86" s="3" t="s">
        <v>59</v>
      </c>
      <c r="W86" s="35">
        <f>SUM(D89:O89)</f>
        <v>1277.5</v>
      </c>
      <c r="X86" s="35">
        <f>SUM(D90:O90)</f>
        <v>1128.5000000000002</v>
      </c>
      <c r="Y86" s="35">
        <f>SUM(D91:O91)</f>
        <v>979.7</v>
      </c>
      <c r="Z86" s="35">
        <f>SUM(W86:Y86)</f>
        <v>3385.7</v>
      </c>
      <c r="AA86" s="53">
        <f>AVERAGE(W86:Y86)</f>
        <v>1128.5666666666666</v>
      </c>
      <c r="AC86" s="3" t="s">
        <v>45</v>
      </c>
      <c r="AD86" s="2">
        <f>3-1</f>
        <v>2</v>
      </c>
      <c r="AE86" s="53">
        <f>T90</f>
        <v>1277.9457407409791</v>
      </c>
      <c r="AF86" s="53">
        <f>AE86/AD86</f>
        <v>638.97287037048955</v>
      </c>
      <c r="AG86" s="53">
        <f>AF86/AF89</f>
        <v>4.8625965815611911</v>
      </c>
      <c r="AH86" s="53">
        <f>FINV(AH84,AD86,AD89)</f>
        <v>3.1000686386371408</v>
      </c>
      <c r="AI86" s="53">
        <f>FINV(AI84,AD86,AD89)</f>
        <v>4.8547979993760721</v>
      </c>
      <c r="AJ86" s="30" t="s">
        <v>72</v>
      </c>
      <c r="AK86" s="2"/>
      <c r="AM86" s="53" t="s">
        <v>76</v>
      </c>
      <c r="AN86" s="54">
        <f>AN85*AN84</f>
        <v>14.758809430731162</v>
      </c>
      <c r="AO86" s="51"/>
      <c r="AP86" s="51"/>
      <c r="AS86" s="3" t="s">
        <v>98</v>
      </c>
      <c r="AT86" s="2">
        <f>3*3-1</f>
        <v>8</v>
      </c>
      <c r="AU86" s="53">
        <f>SUMSQ(P86:P94)/12-AT94</f>
        <v>6559.9946296298876</v>
      </c>
      <c r="AV86" s="53">
        <f t="shared" ref="AV86:AV90" si="30">AU86/AT86</f>
        <v>819.99932870373596</v>
      </c>
      <c r="AW86" s="53">
        <f>AV86/AV90</f>
        <v>6.2402116232655152</v>
      </c>
      <c r="AX86" s="53">
        <f>FINV(AX84,AT86,AT90)</f>
        <v>2.0454143150341193</v>
      </c>
      <c r="AY86" s="53">
        <f>FINV(AY84,AT86,AT90)</f>
        <v>2.720181875728696</v>
      </c>
      <c r="AZ86" s="2" t="str">
        <f>IF(AW86&gt;AY86,"**",IF(AW86&gt;AX86,"*","TN"))</f>
        <v>**</v>
      </c>
      <c r="BA86" s="2" t="str">
        <f t="shared" ref="BA86:BA89" si="31">IF(AZ86="TN","Tidak Nyata",IF(AZ86="*","Nyata",IF(AZ86="**","Sangat Nyata",0)))</f>
        <v>Sangat Nyata</v>
      </c>
    </row>
    <row r="87" spans="1:53" ht="15.5" x14ac:dyDescent="0.3">
      <c r="A87" s="73"/>
      <c r="B87" s="75"/>
      <c r="C87" s="2" t="s">
        <v>10</v>
      </c>
      <c r="D87" s="35">
        <v>90</v>
      </c>
      <c r="E87" s="35">
        <v>87</v>
      </c>
      <c r="F87" s="35">
        <v>88</v>
      </c>
      <c r="G87" s="35">
        <v>89</v>
      </c>
      <c r="H87" s="35">
        <v>89</v>
      </c>
      <c r="I87" s="35">
        <v>90</v>
      </c>
      <c r="J87" s="35">
        <v>89</v>
      </c>
      <c r="K87" s="35">
        <v>87</v>
      </c>
      <c r="L87" s="35">
        <v>88</v>
      </c>
      <c r="M87" s="35">
        <v>89</v>
      </c>
      <c r="N87" s="35">
        <v>91</v>
      </c>
      <c r="O87" s="35">
        <v>89</v>
      </c>
      <c r="P87" s="34">
        <f t="shared" ref="P87:P95" si="32">SUM(D87:O87)</f>
        <v>1066</v>
      </c>
      <c r="Q87" s="53">
        <f t="shared" ref="Q87:Q93" si="33">AVERAGE(D87:O87)</f>
        <v>88.833333333333329</v>
      </c>
      <c r="S87" s="6" t="s">
        <v>46</v>
      </c>
      <c r="T87" s="51">
        <f>(P95^2)/(12*3*3)</f>
        <v>946389.61120370356</v>
      </c>
      <c r="V87" s="3" t="s">
        <v>60</v>
      </c>
      <c r="W87" s="35">
        <f>SUM(D92:O92)</f>
        <v>1164.9000000000001</v>
      </c>
      <c r="X87" s="35">
        <f>SUM(D93:O93)</f>
        <v>1248.5</v>
      </c>
      <c r="Y87" s="35">
        <f>SUM(D94:O94)</f>
        <v>1153.9000000000001</v>
      </c>
      <c r="Z87" s="35">
        <f>SUM(W87:Y87)</f>
        <v>3567.3</v>
      </c>
      <c r="AA87" s="53">
        <f>AVERAGE(W87:Y87)</f>
        <v>1189.1000000000001</v>
      </c>
      <c r="AC87" s="3" t="s">
        <v>44</v>
      </c>
      <c r="AD87" s="2">
        <f>3-1</f>
        <v>2</v>
      </c>
      <c r="AE87" s="53">
        <f>T91</f>
        <v>2349.5940740741789</v>
      </c>
      <c r="AF87" s="53">
        <f>AE87/AD87</f>
        <v>1174.7970370370895</v>
      </c>
      <c r="AG87" s="53">
        <f>AF87/AF89</f>
        <v>8.9402294232187138</v>
      </c>
      <c r="AH87" s="53">
        <f>FINV(AH84,AD87,AD89)</f>
        <v>3.1000686386371408</v>
      </c>
      <c r="AI87" s="53">
        <f>FINV(AI84,AD87,AD89)</f>
        <v>4.8547979993760721</v>
      </c>
      <c r="AJ87" s="30" t="s">
        <v>72</v>
      </c>
      <c r="AK87" s="2"/>
      <c r="AM87" s="51"/>
      <c r="AN87" s="51"/>
      <c r="AO87" s="51"/>
      <c r="AP87" s="51"/>
      <c r="AS87" s="3" t="s">
        <v>45</v>
      </c>
      <c r="AT87" s="2">
        <f>3-1</f>
        <v>2</v>
      </c>
      <c r="AU87" s="53">
        <f>SUMSQ(W88:Y88)/(3*12)-AT94</f>
        <v>1277.9457407409791</v>
      </c>
      <c r="AV87" s="53">
        <f t="shared" si="30"/>
        <v>638.97287037048955</v>
      </c>
      <c r="AW87" s="53">
        <f>AV87/AV90</f>
        <v>4.8625965815611911</v>
      </c>
      <c r="AX87" s="53">
        <f>FINV(AX84,AT87,AT90)</f>
        <v>3.1000686386371408</v>
      </c>
      <c r="AY87" s="53">
        <f>FINV(AY84,AT87,AT90)</f>
        <v>4.8547979993760721</v>
      </c>
      <c r="AZ87" s="2" t="str">
        <f>IF(AW87&gt;AY87,"**",IF(AW87&gt;AX87,"*","TN"))</f>
        <v>**</v>
      </c>
      <c r="BA87" s="2" t="str">
        <f t="shared" si="31"/>
        <v>Sangat Nyata</v>
      </c>
    </row>
    <row r="88" spans="1:53" ht="15.5" x14ac:dyDescent="0.3">
      <c r="A88" s="73"/>
      <c r="B88" s="75"/>
      <c r="C88" s="2" t="s">
        <v>11</v>
      </c>
      <c r="D88" s="35">
        <v>88</v>
      </c>
      <c r="E88" s="35">
        <v>89</v>
      </c>
      <c r="F88" s="35">
        <v>87</v>
      </c>
      <c r="G88" s="35">
        <v>88</v>
      </c>
      <c r="H88" s="35">
        <v>91</v>
      </c>
      <c r="I88" s="35">
        <v>87</v>
      </c>
      <c r="J88" s="35">
        <v>89</v>
      </c>
      <c r="K88" s="35">
        <v>88</v>
      </c>
      <c r="L88" s="35">
        <v>87</v>
      </c>
      <c r="M88" s="35">
        <v>89</v>
      </c>
      <c r="N88" s="35">
        <v>90</v>
      </c>
      <c r="O88" s="35">
        <v>89</v>
      </c>
      <c r="P88" s="34">
        <f t="shared" si="32"/>
        <v>1062</v>
      </c>
      <c r="Q88" s="53">
        <f t="shared" si="33"/>
        <v>88.5</v>
      </c>
      <c r="S88" s="6" t="s">
        <v>47</v>
      </c>
      <c r="T88" s="51">
        <f>SUMSQ(D86:O94)-T87</f>
        <v>20603.198796296609</v>
      </c>
      <c r="V88" s="3" t="s">
        <v>33</v>
      </c>
      <c r="W88" s="35">
        <f>SUM(W85:W87)</f>
        <v>3471.3</v>
      </c>
      <c r="X88" s="35">
        <f>SUM(X85:X87)</f>
        <v>3443</v>
      </c>
      <c r="Y88" s="35">
        <f>SUM(Y85:Y87)</f>
        <v>3195.6000000000004</v>
      </c>
      <c r="Z88" s="35">
        <f>SUM(W88:Y88)</f>
        <v>10109.900000000001</v>
      </c>
      <c r="AA88" s="53">
        <f>AVERAGE(W88:Y88)</f>
        <v>3369.9666666666672</v>
      </c>
      <c r="AC88" s="3" t="s">
        <v>69</v>
      </c>
      <c r="AD88" s="2">
        <f>(3-1)*(3-1)</f>
        <v>4</v>
      </c>
      <c r="AE88" s="53">
        <f>T92</f>
        <v>2932.4548148147296</v>
      </c>
      <c r="AF88" s="53">
        <f>AE88/AD88</f>
        <v>733.1137037036824</v>
      </c>
      <c r="AG88" s="53">
        <f>AF88/AF89</f>
        <v>5.5790102441410774</v>
      </c>
      <c r="AH88" s="53">
        <f>FINV(AH84,AD88,AD89)</f>
        <v>2.4752774088696223</v>
      </c>
      <c r="AI88" s="53">
        <f>FINV(AI84,AD88,AD89)</f>
        <v>3.5400845421240663</v>
      </c>
      <c r="AJ88" s="30" t="s">
        <v>72</v>
      </c>
      <c r="AK88" s="2"/>
      <c r="AM88" s="54" t="s">
        <v>0</v>
      </c>
      <c r="AN88" s="54" t="s">
        <v>32</v>
      </c>
      <c r="AO88" s="54" t="s">
        <v>67</v>
      </c>
      <c r="AP88" s="54" t="s">
        <v>77</v>
      </c>
      <c r="AS88" s="3" t="s">
        <v>44</v>
      </c>
      <c r="AT88" s="2">
        <f>3-1</f>
        <v>2</v>
      </c>
      <c r="AU88" s="53">
        <f>SUMSQ(Z85:Z87)/(3*12)-AT94</f>
        <v>2349.5940740741789</v>
      </c>
      <c r="AV88" s="53">
        <f t="shared" si="30"/>
        <v>1174.7970370370895</v>
      </c>
      <c r="AW88" s="53">
        <f>AV88/AV90</f>
        <v>8.9402294232187138</v>
      </c>
      <c r="AX88" s="53">
        <f>FINV(AX84,AT88,AT90)</f>
        <v>3.1000686386371408</v>
      </c>
      <c r="AY88" s="53">
        <f>FINV(AY84,AT88,AT90)</f>
        <v>4.8547979993760721</v>
      </c>
      <c r="AZ88" s="2" t="str">
        <f>IF(AW88&gt;AY88,"**",IF(AW88&gt;AX88,"*","TN"))</f>
        <v>**</v>
      </c>
      <c r="BA88" s="2" t="str">
        <f t="shared" si="31"/>
        <v>Sangat Nyata</v>
      </c>
    </row>
    <row r="89" spans="1:53" ht="16" customHeight="1" x14ac:dyDescent="0.3">
      <c r="A89" s="73"/>
      <c r="B89" s="75"/>
      <c r="C89" s="2" t="s">
        <v>12</v>
      </c>
      <c r="D89" s="34">
        <v>111</v>
      </c>
      <c r="E89" s="34">
        <v>110.3</v>
      </c>
      <c r="F89" s="34">
        <v>97.4</v>
      </c>
      <c r="G89" s="34">
        <v>104.5</v>
      </c>
      <c r="H89" s="34">
        <v>99.4</v>
      </c>
      <c r="I89" s="34">
        <v>105.5</v>
      </c>
      <c r="J89" s="34">
        <v>100</v>
      </c>
      <c r="K89" s="34">
        <v>102.8</v>
      </c>
      <c r="L89" s="34">
        <v>108</v>
      </c>
      <c r="M89" s="34">
        <v>114.5</v>
      </c>
      <c r="N89" s="34">
        <v>115</v>
      </c>
      <c r="O89" s="34">
        <v>109.1</v>
      </c>
      <c r="P89" s="34">
        <f t="shared" si="32"/>
        <v>1277.5</v>
      </c>
      <c r="Q89" s="53">
        <f t="shared" si="33"/>
        <v>106.45833333333333</v>
      </c>
      <c r="S89" s="6" t="s">
        <v>48</v>
      </c>
      <c r="T89" s="51">
        <f>(SUMSQ(D95:O95)/(3*3))-T87</f>
        <v>2479.503240740858</v>
      </c>
      <c r="V89" s="3" t="s">
        <v>32</v>
      </c>
      <c r="W89" s="53">
        <f>AVERAGE(W85:W87)</f>
        <v>1157.1000000000001</v>
      </c>
      <c r="X89" s="53">
        <f>AVERAGE(X85:X87)</f>
        <v>1147.6666666666667</v>
      </c>
      <c r="Y89" s="53">
        <f>AVERAGE(Y85:Y87)</f>
        <v>1065.2</v>
      </c>
      <c r="Z89" s="33"/>
      <c r="AA89" s="53"/>
      <c r="AC89" s="3" t="s">
        <v>70</v>
      </c>
      <c r="AD89" s="2">
        <f>((3*3)-1)*(12-1)</f>
        <v>88</v>
      </c>
      <c r="AE89" s="53">
        <f>T93</f>
        <v>11563.700925925863</v>
      </c>
      <c r="AF89" s="53">
        <f>AE89/AD89</f>
        <v>131.40569234006662</v>
      </c>
      <c r="AG89" s="53"/>
      <c r="AH89" s="53"/>
      <c r="AI89" s="53"/>
      <c r="AJ89" s="2"/>
      <c r="AK89" s="2"/>
      <c r="AM89" s="53" t="s">
        <v>14</v>
      </c>
      <c r="AN89" s="53">
        <v>81.641666666666666</v>
      </c>
      <c r="AO89" s="53" t="s">
        <v>93</v>
      </c>
      <c r="AP89" s="53">
        <f>AN89+AN86</f>
        <v>96.400476097397828</v>
      </c>
      <c r="AS89" s="3" t="s">
        <v>69</v>
      </c>
      <c r="AT89" s="2">
        <f>AT87*AT88</f>
        <v>4</v>
      </c>
      <c r="AU89" s="53">
        <f>AU86-AU87-AU88</f>
        <v>2932.4548148147296</v>
      </c>
      <c r="AV89" s="53">
        <f t="shared" si="30"/>
        <v>733.1137037036824</v>
      </c>
      <c r="AW89" s="53">
        <f>AV89/AV90</f>
        <v>5.5790102441410774</v>
      </c>
      <c r="AX89" s="53">
        <f>FINV(AX84,AT89,AT90)</f>
        <v>2.4752774088696223</v>
      </c>
      <c r="AY89" s="53">
        <f>FINV(AY84,AT89,AT90)</f>
        <v>3.5400845421240663</v>
      </c>
      <c r="AZ89" s="2" t="str">
        <f>IF(AW89&gt;AY89,"**",IF(AW89&gt;AX89,"*","TN"))</f>
        <v>**</v>
      </c>
      <c r="BA89" s="2" t="str">
        <f t="shared" si="31"/>
        <v>Sangat Nyata</v>
      </c>
    </row>
    <row r="90" spans="1:53" ht="15.5" x14ac:dyDescent="0.3">
      <c r="A90" s="73"/>
      <c r="B90" s="75"/>
      <c r="C90" s="2" t="s">
        <v>13</v>
      </c>
      <c r="D90" s="34">
        <v>105</v>
      </c>
      <c r="E90" s="34">
        <v>104.3</v>
      </c>
      <c r="F90" s="34">
        <v>107.5</v>
      </c>
      <c r="G90" s="34">
        <v>102.8</v>
      </c>
      <c r="H90" s="34">
        <v>100.1</v>
      </c>
      <c r="I90" s="34">
        <v>97.2</v>
      </c>
      <c r="J90" s="34">
        <v>103.1</v>
      </c>
      <c r="K90" s="34">
        <v>98</v>
      </c>
      <c r="L90" s="34">
        <v>76</v>
      </c>
      <c r="M90" s="34">
        <v>82.2</v>
      </c>
      <c r="N90" s="34">
        <v>72.3</v>
      </c>
      <c r="O90" s="34">
        <v>80</v>
      </c>
      <c r="P90" s="34">
        <f t="shared" si="32"/>
        <v>1128.5000000000002</v>
      </c>
      <c r="Q90" s="53">
        <f t="shared" si="33"/>
        <v>94.041666666666686</v>
      </c>
      <c r="S90" s="6" t="s">
        <v>50</v>
      </c>
      <c r="T90" s="51">
        <f>(SUMSQ(W88:Y88)/(12*3))-T87</f>
        <v>1277.9457407409791</v>
      </c>
      <c r="W90" s="44"/>
      <c r="X90" s="44"/>
      <c r="Y90" s="44"/>
      <c r="Z90" s="44"/>
      <c r="AA90" s="51"/>
      <c r="AC90" s="3" t="s">
        <v>33</v>
      </c>
      <c r="AD90" s="2">
        <f>(3*3*12)-1</f>
        <v>107</v>
      </c>
      <c r="AE90" s="53">
        <f>T88</f>
        <v>20603.198796296609</v>
      </c>
      <c r="AF90" s="53"/>
      <c r="AG90" s="53"/>
      <c r="AH90" s="53"/>
      <c r="AI90" s="53"/>
      <c r="AJ90" s="2"/>
      <c r="AK90" s="2"/>
      <c r="AM90" s="53" t="s">
        <v>9</v>
      </c>
      <c r="AN90" s="53">
        <v>85.741666666666674</v>
      </c>
      <c r="AO90" s="53" t="s">
        <v>99</v>
      </c>
      <c r="AP90" s="53">
        <f>AN90+AN86</f>
        <v>100.50047609739784</v>
      </c>
      <c r="AS90" s="3" t="s">
        <v>70</v>
      </c>
      <c r="AT90" s="2">
        <f>AT91-AT85-AT86</f>
        <v>88</v>
      </c>
      <c r="AU90" s="53">
        <f>AU91-AU85-AU86</f>
        <v>11563.700925925863</v>
      </c>
      <c r="AV90" s="53">
        <f t="shared" si="30"/>
        <v>131.40569234006662</v>
      </c>
      <c r="AW90" s="53"/>
      <c r="AX90" s="53"/>
      <c r="AY90" s="53"/>
      <c r="AZ90" s="2"/>
      <c r="BA90" s="2"/>
    </row>
    <row r="91" spans="1:53" ht="15.5" x14ac:dyDescent="0.3">
      <c r="A91" s="73"/>
      <c r="B91" s="75"/>
      <c r="C91" s="2" t="s">
        <v>14</v>
      </c>
      <c r="D91" s="34">
        <v>96.8</v>
      </c>
      <c r="E91" s="34">
        <v>113</v>
      </c>
      <c r="F91" s="34">
        <v>101</v>
      </c>
      <c r="G91" s="34">
        <v>11.8</v>
      </c>
      <c r="H91" s="34">
        <v>76</v>
      </c>
      <c r="I91" s="34">
        <v>82.2</v>
      </c>
      <c r="J91" s="34">
        <v>72.3</v>
      </c>
      <c r="K91" s="34">
        <v>80</v>
      </c>
      <c r="L91" s="34">
        <v>91.5</v>
      </c>
      <c r="M91" s="34">
        <v>81.599999999999994</v>
      </c>
      <c r="N91" s="34">
        <v>89.8</v>
      </c>
      <c r="O91" s="34">
        <v>83.7</v>
      </c>
      <c r="P91" s="34">
        <f t="shared" si="32"/>
        <v>979.7</v>
      </c>
      <c r="Q91" s="53">
        <f t="shared" si="33"/>
        <v>81.641666666666666</v>
      </c>
      <c r="S91" s="6" t="s">
        <v>49</v>
      </c>
      <c r="T91" s="51">
        <f>(SUMSQ(Z85:Z87)/(12*3))-T87</f>
        <v>2349.5940740741789</v>
      </c>
      <c r="W91" s="44"/>
      <c r="X91" s="44"/>
      <c r="Y91" s="44"/>
      <c r="Z91" s="44"/>
      <c r="AA91" s="51"/>
      <c r="AE91" s="51"/>
      <c r="AF91" s="51"/>
      <c r="AG91" s="51"/>
      <c r="AH91" s="51"/>
      <c r="AI91" s="51"/>
      <c r="AM91" s="53" t="s">
        <v>11</v>
      </c>
      <c r="AN91" s="53">
        <v>88.5</v>
      </c>
      <c r="AO91" s="53" t="s">
        <v>99</v>
      </c>
      <c r="AP91" s="53">
        <f>AN91+AN86</f>
        <v>103.25880943073116</v>
      </c>
      <c r="AS91" s="3" t="s">
        <v>33</v>
      </c>
      <c r="AT91" s="2">
        <f>(3*3*12)-1</f>
        <v>107</v>
      </c>
      <c r="AU91" s="53">
        <f>SUMSQ(D86:O94)-AT94</f>
        <v>20603.198796296609</v>
      </c>
      <c r="AV91" s="53"/>
      <c r="AW91" s="53"/>
      <c r="AX91" s="53"/>
      <c r="AY91" s="53"/>
      <c r="AZ91" s="2"/>
      <c r="BA91" s="2"/>
    </row>
    <row r="92" spans="1:53" ht="15.5" x14ac:dyDescent="0.3">
      <c r="A92" s="73"/>
      <c r="B92" s="75"/>
      <c r="C92" s="2" t="s">
        <v>15</v>
      </c>
      <c r="D92" s="34">
        <v>119</v>
      </c>
      <c r="E92" s="34">
        <v>103</v>
      </c>
      <c r="F92" s="34">
        <v>109</v>
      </c>
      <c r="G92" s="34">
        <v>120</v>
      </c>
      <c r="H92" s="34">
        <v>95</v>
      </c>
      <c r="I92" s="34">
        <v>100</v>
      </c>
      <c r="J92" s="34">
        <v>103</v>
      </c>
      <c r="K92" s="34">
        <v>103</v>
      </c>
      <c r="L92" s="34">
        <v>91</v>
      </c>
      <c r="M92" s="34">
        <v>71.5</v>
      </c>
      <c r="N92" s="34">
        <v>77</v>
      </c>
      <c r="O92" s="34">
        <v>73.400000000000006</v>
      </c>
      <c r="P92" s="34">
        <f t="shared" si="32"/>
        <v>1164.9000000000001</v>
      </c>
      <c r="Q92" s="53">
        <f t="shared" si="33"/>
        <v>97.075000000000003</v>
      </c>
      <c r="S92" s="6" t="s">
        <v>51</v>
      </c>
      <c r="T92" s="51">
        <f>(SUMSQ(W85:Y87)/(12))-T87-T90-T91</f>
        <v>2932.4548148147296</v>
      </c>
      <c r="W92" s="44"/>
      <c r="X92" s="44"/>
      <c r="Y92" s="44"/>
      <c r="Z92" s="44"/>
      <c r="AA92" s="51"/>
      <c r="AE92" s="51"/>
      <c r="AF92" s="51"/>
      <c r="AG92" s="51"/>
      <c r="AH92" s="51"/>
      <c r="AI92" s="51"/>
      <c r="AM92" s="53" t="s">
        <v>10</v>
      </c>
      <c r="AN92" s="53">
        <v>88.833333333333329</v>
      </c>
      <c r="AO92" s="53" t="s">
        <v>99</v>
      </c>
      <c r="AP92" s="53">
        <f>AN92+AN86</f>
        <v>103.59214276406449</v>
      </c>
    </row>
    <row r="93" spans="1:53" ht="15.5" x14ac:dyDescent="0.3">
      <c r="A93" s="73"/>
      <c r="B93" s="75"/>
      <c r="C93" s="2" t="s">
        <v>16</v>
      </c>
      <c r="D93" s="34">
        <v>119</v>
      </c>
      <c r="E93" s="34">
        <v>107</v>
      </c>
      <c r="F93" s="34">
        <v>110</v>
      </c>
      <c r="G93" s="34">
        <v>113</v>
      </c>
      <c r="H93" s="34">
        <v>104</v>
      </c>
      <c r="I93" s="34">
        <v>107</v>
      </c>
      <c r="J93" s="34">
        <v>110</v>
      </c>
      <c r="K93" s="34">
        <v>113</v>
      </c>
      <c r="L93" s="34">
        <v>90</v>
      </c>
      <c r="M93" s="34">
        <v>91.5</v>
      </c>
      <c r="N93" s="34">
        <v>91</v>
      </c>
      <c r="O93" s="34">
        <v>93</v>
      </c>
      <c r="P93" s="34">
        <f t="shared" si="32"/>
        <v>1248.5</v>
      </c>
      <c r="Q93" s="53">
        <f t="shared" si="33"/>
        <v>104.04166666666667</v>
      </c>
      <c r="S93" s="6" t="s">
        <v>52</v>
      </c>
      <c r="T93" s="51">
        <f>T88-T89-T90-T91-T92</f>
        <v>11563.700925925863</v>
      </c>
      <c r="W93" s="44"/>
      <c r="X93" s="44"/>
      <c r="Y93" s="44"/>
      <c r="Z93" s="44"/>
      <c r="AA93" s="51"/>
      <c r="AE93" s="51"/>
      <c r="AF93" s="51"/>
      <c r="AG93" s="51"/>
      <c r="AH93" s="51"/>
      <c r="AI93" s="51"/>
      <c r="AM93" s="53" t="s">
        <v>13</v>
      </c>
      <c r="AN93" s="53">
        <v>94.041666666666686</v>
      </c>
      <c r="AO93" s="53" t="s">
        <v>100</v>
      </c>
      <c r="AP93" s="53">
        <f>AN93+AN86</f>
        <v>108.80047609739785</v>
      </c>
    </row>
    <row r="94" spans="1:53" ht="15.5" x14ac:dyDescent="0.3">
      <c r="A94" s="73"/>
      <c r="B94" s="75"/>
      <c r="C94" s="2" t="s">
        <v>17</v>
      </c>
      <c r="D94" s="34">
        <v>97</v>
      </c>
      <c r="E94" s="34">
        <v>108</v>
      </c>
      <c r="F94" s="34">
        <v>99</v>
      </c>
      <c r="G94" s="34">
        <v>101</v>
      </c>
      <c r="H94" s="34">
        <v>104</v>
      </c>
      <c r="I94" s="34">
        <v>102</v>
      </c>
      <c r="J94" s="34">
        <v>97</v>
      </c>
      <c r="K94" s="34">
        <v>101</v>
      </c>
      <c r="L94" s="34">
        <v>92</v>
      </c>
      <c r="M94" s="34">
        <v>88.5</v>
      </c>
      <c r="N94" s="34">
        <v>81.400000000000006</v>
      </c>
      <c r="O94" s="34">
        <v>83</v>
      </c>
      <c r="P94" s="34">
        <f t="shared" si="32"/>
        <v>1153.9000000000001</v>
      </c>
      <c r="Q94" s="53">
        <f>AVERAGE(D94:O94)</f>
        <v>96.158333333333346</v>
      </c>
      <c r="W94" s="44"/>
      <c r="X94" s="44"/>
      <c r="Y94" s="44"/>
      <c r="Z94" s="44"/>
      <c r="AA94" s="51"/>
      <c r="AE94" s="51"/>
      <c r="AF94" s="51"/>
      <c r="AG94" s="51"/>
      <c r="AH94" s="51"/>
      <c r="AI94" s="51"/>
      <c r="AM94" s="53" t="s">
        <v>17</v>
      </c>
      <c r="AN94" s="53">
        <v>96.158333333333346</v>
      </c>
      <c r="AO94" s="53" t="s">
        <v>100</v>
      </c>
      <c r="AP94" s="53">
        <f>AN94+AN87</f>
        <v>96.158333333333346</v>
      </c>
      <c r="AS94" s="2" t="s">
        <v>46</v>
      </c>
      <c r="AT94" s="53">
        <f>P95^2/(3*3*12)</f>
        <v>946389.61120370356</v>
      </c>
    </row>
    <row r="95" spans="1:53" ht="15.5" x14ac:dyDescent="0.3">
      <c r="A95" s="73"/>
      <c r="B95" s="75"/>
      <c r="C95" s="2" t="s">
        <v>33</v>
      </c>
      <c r="D95" s="34">
        <f>SUM(D86:D94)</f>
        <v>916.8</v>
      </c>
      <c r="E95" s="34">
        <f t="shared" ref="E95:O95" si="34">SUM(E86:E94)</f>
        <v>910.6</v>
      </c>
      <c r="F95" s="34">
        <f t="shared" si="34"/>
        <v>885.9</v>
      </c>
      <c r="G95" s="34">
        <f t="shared" si="34"/>
        <v>821.1</v>
      </c>
      <c r="H95" s="34">
        <f t="shared" si="34"/>
        <v>836.5</v>
      </c>
      <c r="I95" s="34">
        <f t="shared" si="34"/>
        <v>857.9</v>
      </c>
      <c r="J95" s="34">
        <f t="shared" si="34"/>
        <v>841.4</v>
      </c>
      <c r="K95" s="34">
        <f t="shared" si="34"/>
        <v>859.3</v>
      </c>
      <c r="L95" s="34">
        <f t="shared" si="34"/>
        <v>808.5</v>
      </c>
      <c r="M95" s="34">
        <f t="shared" si="34"/>
        <v>790.8</v>
      </c>
      <c r="N95" s="34">
        <f t="shared" si="34"/>
        <v>786.5</v>
      </c>
      <c r="O95" s="34">
        <f t="shared" si="34"/>
        <v>794.6</v>
      </c>
      <c r="P95" s="34">
        <f t="shared" si="32"/>
        <v>10109.9</v>
      </c>
      <c r="Q95" s="53"/>
      <c r="W95" s="44"/>
      <c r="X95" s="44"/>
      <c r="Y95" s="44"/>
      <c r="Z95" s="44"/>
      <c r="AA95" s="51"/>
      <c r="AE95" s="51"/>
      <c r="AF95" s="51"/>
      <c r="AG95" s="51"/>
      <c r="AH95" s="51"/>
      <c r="AI95" s="51"/>
      <c r="AM95" s="53" t="s">
        <v>15</v>
      </c>
      <c r="AN95" s="53">
        <v>97.075000000000003</v>
      </c>
      <c r="AO95" s="53" t="s">
        <v>101</v>
      </c>
      <c r="AP95" s="53">
        <f>AN95+AN86</f>
        <v>111.83380943073116</v>
      </c>
    </row>
    <row r="96" spans="1:53" ht="15.5" x14ac:dyDescent="0.3">
      <c r="A96" s="66"/>
      <c r="B96" s="76"/>
      <c r="C96" s="2" t="s">
        <v>32</v>
      </c>
      <c r="D96" s="24">
        <f>AVERAGE(D86:D94)</f>
        <v>101.86666666666666</v>
      </c>
      <c r="E96" s="24">
        <f t="shared" ref="E96:O96" si="35">AVERAGE(E86:E94)</f>
        <v>101.17777777777778</v>
      </c>
      <c r="F96" s="24">
        <f t="shared" si="35"/>
        <v>98.433333333333337</v>
      </c>
      <c r="G96" s="24">
        <f t="shared" si="35"/>
        <v>91.233333333333334</v>
      </c>
      <c r="H96" s="24">
        <f t="shared" si="35"/>
        <v>92.944444444444443</v>
      </c>
      <c r="I96" s="24">
        <f t="shared" si="35"/>
        <v>95.322222222222223</v>
      </c>
      <c r="J96" s="24">
        <f t="shared" si="35"/>
        <v>93.48888888888888</v>
      </c>
      <c r="K96" s="24">
        <f t="shared" si="35"/>
        <v>95.477777777777774</v>
      </c>
      <c r="L96" s="24">
        <f t="shared" si="35"/>
        <v>89.833333333333329</v>
      </c>
      <c r="M96" s="24">
        <f t="shared" si="35"/>
        <v>87.86666666666666</v>
      </c>
      <c r="N96" s="24">
        <f t="shared" si="35"/>
        <v>87.388888888888886</v>
      </c>
      <c r="O96" s="24">
        <f t="shared" si="35"/>
        <v>88.288888888888891</v>
      </c>
      <c r="P96" s="34"/>
      <c r="Q96" s="53"/>
      <c r="W96" s="44"/>
      <c r="X96" s="44"/>
      <c r="Y96" s="44"/>
      <c r="Z96" s="44"/>
      <c r="AA96" s="51"/>
      <c r="AE96" s="51"/>
      <c r="AF96" s="51"/>
      <c r="AG96" s="51"/>
      <c r="AH96" s="51"/>
      <c r="AI96" s="51"/>
      <c r="AM96" s="53" t="s">
        <v>16</v>
      </c>
      <c r="AN96" s="53">
        <v>104.04166666666667</v>
      </c>
      <c r="AO96" s="53" t="s">
        <v>102</v>
      </c>
      <c r="AP96" s="53">
        <f>AN96+AN86</f>
        <v>118.80047609739783</v>
      </c>
    </row>
    <row r="97" spans="1:53" ht="15.5" x14ac:dyDescent="0.3">
      <c r="A97" s="5"/>
      <c r="B97" s="5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51"/>
      <c r="W97" s="44"/>
      <c r="X97" s="44"/>
      <c r="Y97" s="44"/>
      <c r="Z97" s="44"/>
      <c r="AA97" s="51"/>
      <c r="AE97" s="51"/>
      <c r="AF97" s="51"/>
      <c r="AG97" s="51"/>
      <c r="AH97" s="51"/>
      <c r="AI97" s="51"/>
      <c r="AM97" s="53" t="s">
        <v>12</v>
      </c>
      <c r="AN97" s="53">
        <v>106.45833333333333</v>
      </c>
      <c r="AO97" s="53" t="s">
        <v>102</v>
      </c>
      <c r="AP97" s="53">
        <f>AN97+AN86</f>
        <v>121.21714276406449</v>
      </c>
    </row>
    <row r="98" spans="1:53" ht="14.5" customHeight="1" x14ac:dyDescent="0.3"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51"/>
      <c r="W98" s="44"/>
      <c r="X98" s="44"/>
      <c r="Y98" s="44"/>
      <c r="Z98" s="44"/>
      <c r="AA98" s="51"/>
      <c r="AE98" s="51"/>
      <c r="AF98" s="51"/>
      <c r="AG98" s="51"/>
      <c r="AH98" s="51"/>
      <c r="AI98" s="51"/>
      <c r="AM98" s="51"/>
      <c r="AN98" s="51"/>
      <c r="AO98" s="51"/>
      <c r="AP98" s="51"/>
      <c r="AS98" s="6" t="s">
        <v>97</v>
      </c>
    </row>
    <row r="99" spans="1:53" x14ac:dyDescent="0.3">
      <c r="A99" s="3" t="s">
        <v>18</v>
      </c>
      <c r="B99" s="3" t="s">
        <v>20</v>
      </c>
      <c r="C99" s="65" t="s">
        <v>0</v>
      </c>
      <c r="D99" s="88" t="s">
        <v>1</v>
      </c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90"/>
      <c r="P99" s="37"/>
      <c r="Q99" s="67" t="s">
        <v>32</v>
      </c>
      <c r="V99" s="65" t="s">
        <v>53</v>
      </c>
      <c r="W99" s="81" t="s">
        <v>54</v>
      </c>
      <c r="X99" s="82"/>
      <c r="Y99" s="83"/>
      <c r="Z99" s="84" t="s">
        <v>33</v>
      </c>
      <c r="AA99" s="67" t="s">
        <v>32</v>
      </c>
      <c r="AC99" s="65" t="s">
        <v>61</v>
      </c>
      <c r="AD99" s="65" t="s">
        <v>62</v>
      </c>
      <c r="AE99" s="67" t="s">
        <v>63</v>
      </c>
      <c r="AF99" s="67" t="s">
        <v>64</v>
      </c>
      <c r="AG99" s="67" t="s">
        <v>65</v>
      </c>
      <c r="AH99" s="64" t="s">
        <v>66</v>
      </c>
      <c r="AI99" s="64"/>
      <c r="AJ99" s="65" t="s">
        <v>67</v>
      </c>
      <c r="AK99" s="65" t="s">
        <v>68</v>
      </c>
      <c r="AM99" s="80" t="s">
        <v>80</v>
      </c>
      <c r="AN99" s="80"/>
      <c r="AO99" s="51"/>
      <c r="AP99" s="51"/>
      <c r="AS99" s="65" t="s">
        <v>61</v>
      </c>
      <c r="AT99" s="65" t="s">
        <v>62</v>
      </c>
      <c r="AU99" s="65" t="s">
        <v>63</v>
      </c>
      <c r="AV99" s="65" t="s">
        <v>64</v>
      </c>
      <c r="AW99" s="65" t="s">
        <v>65</v>
      </c>
      <c r="AX99" s="69" t="s">
        <v>66</v>
      </c>
      <c r="AY99" s="69"/>
      <c r="AZ99" s="65" t="s">
        <v>67</v>
      </c>
      <c r="BA99" s="65" t="s">
        <v>68</v>
      </c>
    </row>
    <row r="100" spans="1:53" ht="15.5" customHeight="1" x14ac:dyDescent="0.3">
      <c r="A100" s="65">
        <v>7</v>
      </c>
      <c r="B100" s="74" t="s">
        <v>27</v>
      </c>
      <c r="C100" s="73"/>
      <c r="D100" s="88" t="s">
        <v>2</v>
      </c>
      <c r="E100" s="89"/>
      <c r="F100" s="89"/>
      <c r="G100" s="90"/>
      <c r="H100" s="88" t="s">
        <v>7</v>
      </c>
      <c r="I100" s="89"/>
      <c r="J100" s="89"/>
      <c r="K100" s="90"/>
      <c r="L100" s="88" t="s">
        <v>8</v>
      </c>
      <c r="M100" s="89"/>
      <c r="N100" s="89"/>
      <c r="O100" s="90"/>
      <c r="P100" s="38" t="s">
        <v>33</v>
      </c>
      <c r="Q100" s="77"/>
      <c r="S100" s="6" t="s">
        <v>71</v>
      </c>
      <c r="T100" s="6">
        <v>12</v>
      </c>
      <c r="V100" s="66"/>
      <c r="W100" s="41" t="s">
        <v>55</v>
      </c>
      <c r="X100" s="41" t="s">
        <v>56</v>
      </c>
      <c r="Y100" s="41" t="s">
        <v>57</v>
      </c>
      <c r="Z100" s="85"/>
      <c r="AA100" s="68"/>
      <c r="AC100" s="66"/>
      <c r="AD100" s="66"/>
      <c r="AE100" s="68"/>
      <c r="AF100" s="68"/>
      <c r="AG100" s="68"/>
      <c r="AH100" s="59">
        <v>0.05</v>
      </c>
      <c r="AI100" s="59">
        <v>0.01</v>
      </c>
      <c r="AJ100" s="66"/>
      <c r="AK100" s="66"/>
      <c r="AM100" s="54" t="s">
        <v>74</v>
      </c>
      <c r="AN100" s="54">
        <f>SQRT(AF105/12)</f>
        <v>1.8747711700992198</v>
      </c>
      <c r="AO100" s="56"/>
      <c r="AP100" s="55" t="s">
        <v>88</v>
      </c>
      <c r="AS100" s="66"/>
      <c r="AT100" s="66"/>
      <c r="AU100" s="66"/>
      <c r="AV100" s="66"/>
      <c r="AW100" s="66"/>
      <c r="AX100" s="42">
        <v>0.05</v>
      </c>
      <c r="AY100" s="42">
        <v>0.01</v>
      </c>
      <c r="AZ100" s="66"/>
      <c r="BA100" s="66"/>
    </row>
    <row r="101" spans="1:53" x14ac:dyDescent="0.3">
      <c r="A101" s="73"/>
      <c r="B101" s="75"/>
      <c r="C101" s="66"/>
      <c r="D101" s="39" t="s">
        <v>3</v>
      </c>
      <c r="E101" s="39" t="s">
        <v>4</v>
      </c>
      <c r="F101" s="39" t="s">
        <v>5</v>
      </c>
      <c r="G101" s="39" t="s">
        <v>6</v>
      </c>
      <c r="H101" s="39" t="s">
        <v>3</v>
      </c>
      <c r="I101" s="39" t="s">
        <v>4</v>
      </c>
      <c r="J101" s="39" t="s">
        <v>5</v>
      </c>
      <c r="K101" s="39" t="s">
        <v>6</v>
      </c>
      <c r="L101" s="39" t="s">
        <v>3</v>
      </c>
      <c r="M101" s="39" t="s">
        <v>4</v>
      </c>
      <c r="N101" s="39" t="s">
        <v>5</v>
      </c>
      <c r="O101" s="39" t="s">
        <v>6</v>
      </c>
      <c r="P101" s="40"/>
      <c r="Q101" s="68"/>
      <c r="S101" s="6" t="s">
        <v>44</v>
      </c>
      <c r="T101" s="6">
        <v>3</v>
      </c>
      <c r="V101" s="3" t="s">
        <v>58</v>
      </c>
      <c r="W101" s="35">
        <f>SUM(D102:O102)</f>
        <v>1101.5</v>
      </c>
      <c r="X101" s="35">
        <f>SUM(D103:O103)</f>
        <v>1169</v>
      </c>
      <c r="Y101" s="35">
        <f>SUM(D104:O104)</f>
        <v>1165</v>
      </c>
      <c r="Z101" s="35">
        <f>SUM(W101:Y101)</f>
        <v>3435.5</v>
      </c>
      <c r="AA101" s="53">
        <f>AVERAGE(W101:Y101)</f>
        <v>1145.1666666666667</v>
      </c>
      <c r="AC101" s="3" t="s">
        <v>43</v>
      </c>
      <c r="AD101" s="2">
        <f>12-1</f>
        <v>11</v>
      </c>
      <c r="AE101" s="53">
        <f>T105</f>
        <v>3609.6544444449246</v>
      </c>
      <c r="AF101" s="53">
        <f>AE101/AD101</f>
        <v>328.15040404044771</v>
      </c>
      <c r="AG101" s="53">
        <f>AF101/AF105</f>
        <v>7.7802788828839793</v>
      </c>
      <c r="AH101" s="53">
        <f>FINV(AH100,AD101,AD105)</f>
        <v>1.8991710184693407</v>
      </c>
      <c r="AI101" s="53">
        <f>FINV(AI100,AD101,AD105)</f>
        <v>2.4560580535880434</v>
      </c>
      <c r="AJ101" s="30" t="s">
        <v>72</v>
      </c>
      <c r="AK101" s="2"/>
      <c r="AM101" s="53" t="s">
        <v>75</v>
      </c>
      <c r="AN101" s="54">
        <v>4.46</v>
      </c>
      <c r="AO101" s="51"/>
      <c r="AP101" s="51"/>
      <c r="AS101" s="3" t="s">
        <v>43</v>
      </c>
      <c r="AT101" s="2">
        <f>12-1</f>
        <v>11</v>
      </c>
      <c r="AU101" s="6">
        <f>SUMSQ(D111:O111)/(3*3)-AT110</f>
        <v>3609.6544444449246</v>
      </c>
      <c r="AV101" s="53">
        <f>AU101/AT101</f>
        <v>328.15040404044771</v>
      </c>
      <c r="AW101" s="53">
        <f>AV101/AV106</f>
        <v>7.7802788828839793</v>
      </c>
      <c r="AX101" s="53">
        <f>FINV(AX100,AT101,AT106)</f>
        <v>1.8991710184693407</v>
      </c>
      <c r="AY101" s="53">
        <f>FINV(AY100,AT101,AT106)</f>
        <v>2.4560580535880434</v>
      </c>
      <c r="AZ101" s="2" t="str">
        <f>IF(AW101&gt;AY101,"**",IF(AW101&gt;AX101,"*","TN"))</f>
        <v>**</v>
      </c>
      <c r="BA101" s="2" t="str">
        <f>IF(AZ101="TN","Tidak Nyata",IF(AZ101="*","Nyata",IF(AZ101="**","Sangat Nyata",0)))</f>
        <v>Sangat Nyata</v>
      </c>
    </row>
    <row r="102" spans="1:53" ht="15.5" x14ac:dyDescent="0.3">
      <c r="A102" s="73"/>
      <c r="B102" s="75"/>
      <c r="C102" s="2" t="s">
        <v>9</v>
      </c>
      <c r="D102" s="34">
        <v>94</v>
      </c>
      <c r="E102" s="34">
        <v>99.5</v>
      </c>
      <c r="F102" s="34">
        <v>95</v>
      </c>
      <c r="G102" s="34">
        <v>107</v>
      </c>
      <c r="H102" s="34">
        <v>84</v>
      </c>
      <c r="I102" s="34">
        <v>91</v>
      </c>
      <c r="J102" s="34">
        <v>84</v>
      </c>
      <c r="K102" s="34">
        <v>91</v>
      </c>
      <c r="L102" s="34">
        <v>87</v>
      </c>
      <c r="M102" s="34">
        <v>90</v>
      </c>
      <c r="N102" s="34">
        <v>82</v>
      </c>
      <c r="O102" s="34">
        <v>97</v>
      </c>
      <c r="P102" s="34">
        <f>SUM(D102:O102)</f>
        <v>1101.5</v>
      </c>
      <c r="Q102" s="53">
        <f t="shared" ref="Q102:Q110" si="36">AVERAGE(D102:O102)</f>
        <v>91.791666666666671</v>
      </c>
      <c r="S102" s="6" t="s">
        <v>45</v>
      </c>
      <c r="T102" s="6">
        <v>3</v>
      </c>
      <c r="V102" s="3" t="s">
        <v>59</v>
      </c>
      <c r="W102" s="35">
        <f>SUM(D105:O105)</f>
        <v>1223.4000000000001</v>
      </c>
      <c r="X102" s="35">
        <f>SUM(D106:O106)</f>
        <v>1154.0999999999999</v>
      </c>
      <c r="Y102" s="35">
        <f>SUM(D107:O107)</f>
        <v>1257.2</v>
      </c>
      <c r="Z102" s="35">
        <f>SUM(W102:Y102)</f>
        <v>3634.7</v>
      </c>
      <c r="AA102" s="53">
        <f>AVERAGE(W102:Y102)</f>
        <v>1211.5666666666666</v>
      </c>
      <c r="AC102" s="3" t="s">
        <v>45</v>
      </c>
      <c r="AD102" s="2">
        <f>3-1</f>
        <v>2</v>
      </c>
      <c r="AE102" s="53">
        <f>T106</f>
        <v>38.791666667442769</v>
      </c>
      <c r="AF102" s="53">
        <f>AE102/AD102</f>
        <v>19.395833333721384</v>
      </c>
      <c r="AG102" s="53">
        <f>AF102/AF105</f>
        <v>0.45986532591222762</v>
      </c>
      <c r="AH102" s="53">
        <f>FINV(AH100,AD102,AD105)</f>
        <v>3.1000686386371408</v>
      </c>
      <c r="AI102" s="53">
        <f>FINV(AI100,AD102,AD105)</f>
        <v>4.8547979993760721</v>
      </c>
      <c r="AJ102" s="30" t="s">
        <v>95</v>
      </c>
      <c r="AK102" s="2"/>
      <c r="AM102" s="53" t="s">
        <v>76</v>
      </c>
      <c r="AN102" s="54">
        <f>AN101*AN100</f>
        <v>8.3614794186425208</v>
      </c>
      <c r="AO102" s="51"/>
      <c r="AP102" s="51"/>
      <c r="AS102" s="3" t="s">
        <v>98</v>
      </c>
      <c r="AT102" s="2">
        <f>3*3-1</f>
        <v>8</v>
      </c>
      <c r="AU102" s="53">
        <f>SUMSQ(P102:P110)/12-AT110</f>
        <v>3376.9016666673124</v>
      </c>
      <c r="AV102" s="53">
        <f t="shared" ref="AV102:AV106" si="37">AU102/AT102</f>
        <v>422.11270833341405</v>
      </c>
      <c r="AW102" s="53">
        <f>AV102/AV106</f>
        <v>10.008077242649446</v>
      </c>
      <c r="AX102" s="53">
        <f>FINV(AX100,AT102,AT106)</f>
        <v>2.0454143150341193</v>
      </c>
      <c r="AY102" s="53">
        <f>FINV(AY100,AT102,AT106)</f>
        <v>2.720181875728696</v>
      </c>
      <c r="AZ102" s="2" t="str">
        <f>IF(AW102&gt;AY102,"**",IF(AW102&gt;AX102,"*","TN"))</f>
        <v>**</v>
      </c>
      <c r="BA102" s="2" t="str">
        <f t="shared" ref="BA102:BA105" si="38">IF(AZ102="TN","Tidak Nyata",IF(AZ102="*","Nyata",IF(AZ102="**","Sangat Nyata",0)))</f>
        <v>Sangat Nyata</v>
      </c>
    </row>
    <row r="103" spans="1:53" ht="15.5" x14ac:dyDescent="0.3">
      <c r="A103" s="73"/>
      <c r="B103" s="75"/>
      <c r="C103" s="2" t="s">
        <v>10</v>
      </c>
      <c r="D103" s="35">
        <v>99</v>
      </c>
      <c r="E103" s="35">
        <v>98</v>
      </c>
      <c r="F103" s="35">
        <v>96</v>
      </c>
      <c r="G103" s="35">
        <v>97</v>
      </c>
      <c r="H103" s="35">
        <v>95</v>
      </c>
      <c r="I103" s="35">
        <v>96</v>
      </c>
      <c r="J103" s="35">
        <v>98</v>
      </c>
      <c r="K103" s="35">
        <v>99</v>
      </c>
      <c r="L103" s="35">
        <v>97</v>
      </c>
      <c r="M103" s="35">
        <v>99</v>
      </c>
      <c r="N103" s="35">
        <v>98</v>
      </c>
      <c r="O103" s="35">
        <v>97</v>
      </c>
      <c r="P103" s="34">
        <f t="shared" ref="P103:P110" si="39">SUM(D103:O103)</f>
        <v>1169</v>
      </c>
      <c r="Q103" s="53">
        <f t="shared" si="36"/>
        <v>97.416666666666671</v>
      </c>
      <c r="S103" s="6" t="s">
        <v>46</v>
      </c>
      <c r="T103" s="51">
        <f>(P111^2)/(12*3*3)</f>
        <v>1099890.7499999993</v>
      </c>
      <c r="V103" s="3" t="s">
        <v>60</v>
      </c>
      <c r="W103" s="35">
        <f>SUM(D108:O108)</f>
        <v>1278.5999999999999</v>
      </c>
      <c r="X103" s="35">
        <f>SUM(D109:O109)</f>
        <v>1331.4</v>
      </c>
      <c r="Y103" s="35">
        <f>SUM(D110:O110)</f>
        <v>1218.8</v>
      </c>
      <c r="Z103" s="35">
        <f>SUM(W103:Y103)</f>
        <v>3828.8</v>
      </c>
      <c r="AA103" s="53">
        <f>AVERAGE(W103:Y103)</f>
        <v>1276.2666666666667</v>
      </c>
      <c r="AC103" s="3" t="s">
        <v>44</v>
      </c>
      <c r="AD103" s="2">
        <f>3-1</f>
        <v>2</v>
      </c>
      <c r="AE103" s="53">
        <f>T107</f>
        <v>2148.5216666674241</v>
      </c>
      <c r="AF103" s="53">
        <f>AE103/AD103</f>
        <v>1074.2608333337121</v>
      </c>
      <c r="AG103" s="53">
        <f>AF103/AF105</f>
        <v>25.470177008422684</v>
      </c>
      <c r="AH103" s="53">
        <f>FINV(AH100,AD103,AD105)</f>
        <v>3.1000686386371408</v>
      </c>
      <c r="AI103" s="53">
        <f>FINV(AI100,AD103,AD105)</f>
        <v>4.8547979993760721</v>
      </c>
      <c r="AJ103" s="30" t="s">
        <v>72</v>
      </c>
      <c r="AK103" s="2"/>
      <c r="AM103" s="51"/>
      <c r="AN103" s="51"/>
      <c r="AO103" s="51"/>
      <c r="AP103" s="51"/>
      <c r="AS103" s="3" t="s">
        <v>45</v>
      </c>
      <c r="AT103" s="2">
        <f>3-1</f>
        <v>2</v>
      </c>
      <c r="AU103" s="53">
        <f>SUMSQ(W104:Y104)/(3*12)-AT110</f>
        <v>38.791666667442769</v>
      </c>
      <c r="AV103" s="53">
        <f t="shared" si="37"/>
        <v>19.395833333721384</v>
      </c>
      <c r="AW103" s="53">
        <f>AV103/AV106</f>
        <v>0.45986532591222762</v>
      </c>
      <c r="AX103" s="53">
        <f>FINV(AX100,AT103,AT106)</f>
        <v>3.1000686386371408</v>
      </c>
      <c r="AY103" s="53">
        <f>FINV(AY100,AT103,AT106)</f>
        <v>4.8547979993760721</v>
      </c>
      <c r="AZ103" s="2" t="str">
        <f>IF(AW103&gt;AY103,"**",IF(AW103&gt;AX103,"*","TN"))</f>
        <v>TN</v>
      </c>
      <c r="BA103" s="2" t="str">
        <f t="shared" si="38"/>
        <v>Tidak Nyata</v>
      </c>
    </row>
    <row r="104" spans="1:53" ht="15.5" x14ac:dyDescent="0.3">
      <c r="A104" s="73"/>
      <c r="B104" s="75"/>
      <c r="C104" s="2" t="s">
        <v>11</v>
      </c>
      <c r="D104" s="35">
        <v>98</v>
      </c>
      <c r="E104" s="35">
        <v>97</v>
      </c>
      <c r="F104" s="35">
        <v>96</v>
      </c>
      <c r="G104" s="35">
        <v>99</v>
      </c>
      <c r="H104" s="35">
        <v>98</v>
      </c>
      <c r="I104" s="35">
        <v>97</v>
      </c>
      <c r="J104" s="35">
        <v>96</v>
      </c>
      <c r="K104" s="35">
        <v>96</v>
      </c>
      <c r="L104" s="35">
        <v>97</v>
      </c>
      <c r="M104" s="35">
        <v>98</v>
      </c>
      <c r="N104" s="35">
        <v>97</v>
      </c>
      <c r="O104" s="35">
        <v>96</v>
      </c>
      <c r="P104" s="34">
        <f t="shared" si="39"/>
        <v>1165</v>
      </c>
      <c r="Q104" s="53">
        <f t="shared" si="36"/>
        <v>97.083333333333329</v>
      </c>
      <c r="S104" s="6" t="s">
        <v>47</v>
      </c>
      <c r="T104" s="51">
        <f>SUMSQ(D102:O110)-T103</f>
        <v>10698.150000000605</v>
      </c>
      <c r="V104" s="3" t="s">
        <v>33</v>
      </c>
      <c r="W104" s="35">
        <f>SUM(W101:W103)</f>
        <v>3603.5</v>
      </c>
      <c r="X104" s="35">
        <f>SUM(X101:X103)</f>
        <v>3654.5</v>
      </c>
      <c r="Y104" s="35">
        <f>SUM(Y101:Y103)</f>
        <v>3641</v>
      </c>
      <c r="Z104" s="35">
        <f>SUM(W104:Y104)</f>
        <v>10899</v>
      </c>
      <c r="AA104" s="53">
        <f>AVERAGE(W104:Y104)</f>
        <v>3633</v>
      </c>
      <c r="AC104" s="3" t="s">
        <v>69</v>
      </c>
      <c r="AD104" s="2">
        <f>(3-1)*(3-1)</f>
        <v>4</v>
      </c>
      <c r="AE104" s="53">
        <f>T108</f>
        <v>1189.5883333324455</v>
      </c>
      <c r="AF104" s="53">
        <f>AE104/AD104</f>
        <v>297.39708333311137</v>
      </c>
      <c r="AG104" s="53">
        <f>AF104/AF105</f>
        <v>7.051133318131436</v>
      </c>
      <c r="AH104" s="53">
        <f>FINV(AH100,AD104,AD105)</f>
        <v>2.4752774088696223</v>
      </c>
      <c r="AI104" s="53">
        <f>FINV(AI100,AD104,AD105)</f>
        <v>3.5400845421240663</v>
      </c>
      <c r="AJ104" s="30" t="s">
        <v>72</v>
      </c>
      <c r="AK104" s="2"/>
      <c r="AM104" s="54" t="s">
        <v>0</v>
      </c>
      <c r="AN104" s="54" t="s">
        <v>32</v>
      </c>
      <c r="AO104" s="54" t="s">
        <v>67</v>
      </c>
      <c r="AP104" s="54" t="s">
        <v>77</v>
      </c>
      <c r="AS104" s="3" t="s">
        <v>44</v>
      </c>
      <c r="AT104" s="2">
        <f>3-1</f>
        <v>2</v>
      </c>
      <c r="AU104" s="53">
        <f>SUMSQ(Z101:Z103)/(3*12)-AT110</f>
        <v>2148.5216666674241</v>
      </c>
      <c r="AV104" s="53">
        <f t="shared" si="37"/>
        <v>1074.2608333337121</v>
      </c>
      <c r="AW104" s="53">
        <f>AV104/AV106</f>
        <v>25.470177008422684</v>
      </c>
      <c r="AX104" s="53">
        <f>FINV(AX100,AT104,AT106)</f>
        <v>3.1000686386371408</v>
      </c>
      <c r="AY104" s="53">
        <f>FINV(AY100,AT104,AT106)</f>
        <v>4.8547979993760721</v>
      </c>
      <c r="AZ104" s="2" t="str">
        <f>IF(AW104&gt;AY104,"**",IF(AW104&gt;AX104,"*","TN"))</f>
        <v>**</v>
      </c>
      <c r="BA104" s="2" t="str">
        <f t="shared" si="38"/>
        <v>Sangat Nyata</v>
      </c>
    </row>
    <row r="105" spans="1:53" ht="15.5" x14ac:dyDescent="0.3">
      <c r="A105" s="73"/>
      <c r="B105" s="75"/>
      <c r="C105" s="2" t="s">
        <v>12</v>
      </c>
      <c r="D105" s="34">
        <v>112.9</v>
      </c>
      <c r="E105" s="34">
        <v>111</v>
      </c>
      <c r="F105" s="34">
        <v>99.2</v>
      </c>
      <c r="G105" s="34">
        <v>105.1</v>
      </c>
      <c r="H105" s="34">
        <v>100.7</v>
      </c>
      <c r="I105" s="34">
        <v>107.9</v>
      </c>
      <c r="J105" s="34">
        <v>103.1</v>
      </c>
      <c r="K105" s="34">
        <v>104.3</v>
      </c>
      <c r="L105" s="34">
        <v>91.7</v>
      </c>
      <c r="M105" s="34">
        <v>95.5</v>
      </c>
      <c r="N105" s="34">
        <v>94</v>
      </c>
      <c r="O105" s="34">
        <v>98</v>
      </c>
      <c r="P105" s="34">
        <f t="shared" si="39"/>
        <v>1223.4000000000001</v>
      </c>
      <c r="Q105" s="53">
        <f t="shared" si="36"/>
        <v>101.95</v>
      </c>
      <c r="S105" s="6" t="s">
        <v>48</v>
      </c>
      <c r="T105" s="51">
        <f>(SUMSQ(D111:O111)/(3*3))-T103</f>
        <v>3609.6544444449246</v>
      </c>
      <c r="V105" s="3" t="s">
        <v>32</v>
      </c>
      <c r="W105" s="53">
        <f>AVERAGE(W101:W103)</f>
        <v>1201.1666666666667</v>
      </c>
      <c r="X105" s="53">
        <f>AVERAGE(X101:X103)</f>
        <v>1218.1666666666667</v>
      </c>
      <c r="Y105" s="53">
        <f>AVERAGE(Y101:Y103)</f>
        <v>1213.6666666666667</v>
      </c>
      <c r="Z105" s="33"/>
      <c r="AA105" s="53"/>
      <c r="AC105" s="3" t="s">
        <v>70</v>
      </c>
      <c r="AD105" s="2">
        <f>((3*3)-1)*(12-1)</f>
        <v>88</v>
      </c>
      <c r="AE105" s="53">
        <f>T109</f>
        <v>3711.5938888883684</v>
      </c>
      <c r="AF105" s="53">
        <f>AE105/AD105</f>
        <v>42.177203282822369</v>
      </c>
      <c r="AG105" s="53"/>
      <c r="AH105" s="53"/>
      <c r="AI105" s="53"/>
      <c r="AJ105" s="2"/>
      <c r="AK105" s="2"/>
      <c r="AM105" s="53" t="s">
        <v>9</v>
      </c>
      <c r="AN105" s="53">
        <v>91.791666666666671</v>
      </c>
      <c r="AO105" s="53" t="s">
        <v>93</v>
      </c>
      <c r="AP105" s="53">
        <f>AN105+AN102</f>
        <v>100.15314608530919</v>
      </c>
      <c r="AS105" s="3" t="s">
        <v>69</v>
      </c>
      <c r="AT105" s="2">
        <f>AT103*AT104</f>
        <v>4</v>
      </c>
      <c r="AU105" s="53">
        <f>AU102-AU103-AU104</f>
        <v>1189.5883333324455</v>
      </c>
      <c r="AV105" s="53">
        <f t="shared" si="37"/>
        <v>297.39708333311137</v>
      </c>
      <c r="AW105" s="53">
        <f>AV105/AV106</f>
        <v>7.051133318131436</v>
      </c>
      <c r="AX105" s="53">
        <f>FINV(AX100,AT105,AT106)</f>
        <v>2.4752774088696223</v>
      </c>
      <c r="AY105" s="53">
        <f>FINV(AY100,AT105,AT106)</f>
        <v>3.5400845421240663</v>
      </c>
      <c r="AZ105" s="2" t="str">
        <f>IF(AW105&gt;AY105,"**",IF(AW105&gt;AX105,"*","TN"))</f>
        <v>**</v>
      </c>
      <c r="BA105" s="2" t="str">
        <f t="shared" si="38"/>
        <v>Sangat Nyata</v>
      </c>
    </row>
    <row r="106" spans="1:53" ht="17" customHeight="1" x14ac:dyDescent="0.3">
      <c r="A106" s="73"/>
      <c r="B106" s="75"/>
      <c r="C106" s="2" t="s">
        <v>13</v>
      </c>
      <c r="D106" s="34">
        <v>106</v>
      </c>
      <c r="E106" s="34">
        <v>105.4</v>
      </c>
      <c r="F106" s="34">
        <v>109.1</v>
      </c>
      <c r="G106" s="34">
        <v>103.2</v>
      </c>
      <c r="H106" s="34">
        <v>102.7</v>
      </c>
      <c r="I106" s="34">
        <v>100</v>
      </c>
      <c r="J106" s="34">
        <v>105.4</v>
      </c>
      <c r="K106" s="34">
        <v>101</v>
      </c>
      <c r="L106" s="34">
        <v>79.8</v>
      </c>
      <c r="M106" s="34">
        <v>87.2</v>
      </c>
      <c r="N106" s="34">
        <v>75.5</v>
      </c>
      <c r="O106" s="34">
        <v>78.8</v>
      </c>
      <c r="P106" s="34">
        <f t="shared" si="39"/>
        <v>1154.0999999999999</v>
      </c>
      <c r="Q106" s="53">
        <f t="shared" si="36"/>
        <v>96.174999999999997</v>
      </c>
      <c r="S106" s="6" t="s">
        <v>50</v>
      </c>
      <c r="T106" s="51">
        <f>(SUMSQ(W104:Y104)/(12*3))-T103</f>
        <v>38.791666667442769</v>
      </c>
      <c r="AA106" s="51"/>
      <c r="AC106" s="3" t="s">
        <v>33</v>
      </c>
      <c r="AD106" s="2">
        <f>(3*3*12)-1</f>
        <v>107</v>
      </c>
      <c r="AE106" s="53">
        <f>T104</f>
        <v>10698.150000000605</v>
      </c>
      <c r="AF106" s="53"/>
      <c r="AG106" s="53"/>
      <c r="AH106" s="53"/>
      <c r="AI106" s="53"/>
      <c r="AJ106" s="2"/>
      <c r="AK106" s="2"/>
      <c r="AM106" s="53" t="s">
        <v>13</v>
      </c>
      <c r="AN106" s="53">
        <v>96.174999999999997</v>
      </c>
      <c r="AO106" s="53" t="s">
        <v>99</v>
      </c>
      <c r="AP106" s="53">
        <f>AN106+AN102</f>
        <v>104.53647941864251</v>
      </c>
      <c r="AS106" s="3" t="s">
        <v>70</v>
      </c>
      <c r="AT106" s="2">
        <f>AT107-AT101-AT102</f>
        <v>88</v>
      </c>
      <c r="AU106" s="53">
        <f>AU107-AU101-AU102</f>
        <v>3711.5938888883684</v>
      </c>
      <c r="AV106" s="53">
        <f t="shared" si="37"/>
        <v>42.177203282822369</v>
      </c>
      <c r="AW106" s="53"/>
      <c r="AX106" s="53"/>
      <c r="AY106" s="53"/>
      <c r="AZ106" s="2"/>
      <c r="BA106" s="2"/>
    </row>
    <row r="107" spans="1:53" ht="15.5" x14ac:dyDescent="0.3">
      <c r="A107" s="73"/>
      <c r="B107" s="75"/>
      <c r="C107" s="2" t="s">
        <v>14</v>
      </c>
      <c r="D107" s="34">
        <v>99.1</v>
      </c>
      <c r="E107" s="34">
        <v>113</v>
      </c>
      <c r="F107" s="34">
        <v>101</v>
      </c>
      <c r="G107" s="34">
        <v>111.8</v>
      </c>
      <c r="H107" s="34">
        <v>117</v>
      </c>
      <c r="I107" s="34">
        <v>112.1</v>
      </c>
      <c r="J107" s="34">
        <v>112.5</v>
      </c>
      <c r="K107" s="34">
        <v>114.6</v>
      </c>
      <c r="L107" s="34">
        <v>106</v>
      </c>
      <c r="M107" s="34">
        <v>90.6</v>
      </c>
      <c r="N107" s="34">
        <v>85.5</v>
      </c>
      <c r="O107" s="34">
        <v>94</v>
      </c>
      <c r="P107" s="34">
        <f t="shared" si="39"/>
        <v>1257.2</v>
      </c>
      <c r="Q107" s="53">
        <f t="shared" si="36"/>
        <v>104.76666666666667</v>
      </c>
      <c r="S107" s="6" t="s">
        <v>49</v>
      </c>
      <c r="T107" s="51">
        <f>(SUMSQ(Z101:Z103)/(12*3))-T103</f>
        <v>2148.5216666674241</v>
      </c>
      <c r="AA107" s="51"/>
      <c r="AE107" s="51"/>
      <c r="AF107" s="51"/>
      <c r="AG107" s="51"/>
      <c r="AH107" s="51"/>
      <c r="AI107" s="51"/>
      <c r="AM107" s="53" t="s">
        <v>11</v>
      </c>
      <c r="AN107" s="53">
        <v>97.083333333333329</v>
      </c>
      <c r="AO107" s="53" t="s">
        <v>100</v>
      </c>
      <c r="AP107" s="53">
        <f>AN107+AN102</f>
        <v>105.44481275197585</v>
      </c>
      <c r="AS107" s="3" t="s">
        <v>33</v>
      </c>
      <c r="AT107" s="2">
        <f>(3*3*12)-1</f>
        <v>107</v>
      </c>
      <c r="AU107" s="53">
        <f>SUMSQ(D102:O110)-AT110</f>
        <v>10698.150000000605</v>
      </c>
      <c r="AV107" s="53"/>
      <c r="AW107" s="53"/>
      <c r="AX107" s="53"/>
      <c r="AY107" s="53"/>
      <c r="AZ107" s="2"/>
      <c r="BA107" s="2"/>
    </row>
    <row r="108" spans="1:53" ht="15.5" x14ac:dyDescent="0.3">
      <c r="A108" s="73"/>
      <c r="B108" s="75"/>
      <c r="C108" s="2" t="s">
        <v>15</v>
      </c>
      <c r="D108" s="34">
        <v>114</v>
      </c>
      <c r="E108" s="34">
        <v>117.6</v>
      </c>
      <c r="F108" s="34">
        <v>121.8</v>
      </c>
      <c r="G108" s="34">
        <v>126</v>
      </c>
      <c r="H108" s="34">
        <v>97</v>
      </c>
      <c r="I108" s="34">
        <v>103</v>
      </c>
      <c r="J108" s="34">
        <v>109.7</v>
      </c>
      <c r="K108" s="34">
        <v>105.5</v>
      </c>
      <c r="L108" s="34">
        <v>99</v>
      </c>
      <c r="M108" s="34">
        <v>89</v>
      </c>
      <c r="N108" s="34">
        <v>103</v>
      </c>
      <c r="O108" s="34">
        <v>93</v>
      </c>
      <c r="P108" s="34">
        <f t="shared" si="39"/>
        <v>1278.5999999999999</v>
      </c>
      <c r="Q108" s="53">
        <f t="shared" si="36"/>
        <v>106.55</v>
      </c>
      <c r="S108" s="6" t="s">
        <v>51</v>
      </c>
      <c r="T108" s="51">
        <f>(SUMSQ(W101:Y103)/(12))-T103-T106-T107</f>
        <v>1189.5883333324455</v>
      </c>
      <c r="AA108" s="51"/>
      <c r="AE108" s="51"/>
      <c r="AF108" s="51"/>
      <c r="AG108" s="51"/>
      <c r="AH108" s="51"/>
      <c r="AI108" s="51"/>
      <c r="AM108" s="53" t="s">
        <v>10</v>
      </c>
      <c r="AN108" s="53">
        <v>97.416666666666671</v>
      </c>
      <c r="AO108" s="53" t="s">
        <v>100</v>
      </c>
      <c r="AP108" s="53">
        <f>AN108+AN102</f>
        <v>105.77814608530919</v>
      </c>
    </row>
    <row r="109" spans="1:53" ht="15.5" x14ac:dyDescent="0.3">
      <c r="A109" s="73"/>
      <c r="B109" s="75"/>
      <c r="C109" s="2" t="s">
        <v>16</v>
      </c>
      <c r="D109" s="34">
        <v>118</v>
      </c>
      <c r="E109" s="34">
        <v>120.5</v>
      </c>
      <c r="F109" s="34">
        <v>124.4</v>
      </c>
      <c r="G109" s="34">
        <v>126</v>
      </c>
      <c r="H109" s="34">
        <v>110</v>
      </c>
      <c r="I109" s="34">
        <v>111</v>
      </c>
      <c r="J109" s="34">
        <v>114</v>
      </c>
      <c r="K109" s="34">
        <v>117</v>
      </c>
      <c r="L109" s="34">
        <v>93</v>
      </c>
      <c r="M109" s="34">
        <v>98</v>
      </c>
      <c r="N109" s="34">
        <v>100</v>
      </c>
      <c r="O109" s="34">
        <v>99.5</v>
      </c>
      <c r="P109" s="34">
        <f t="shared" si="39"/>
        <v>1331.4</v>
      </c>
      <c r="Q109" s="53">
        <f t="shared" si="36"/>
        <v>110.95</v>
      </c>
      <c r="S109" s="6" t="s">
        <v>52</v>
      </c>
      <c r="T109" s="51">
        <f>T104-T105-T106-T107-T108</f>
        <v>3711.5938888883684</v>
      </c>
      <c r="AA109" s="51"/>
      <c r="AE109" s="51"/>
      <c r="AF109" s="51"/>
      <c r="AG109" s="51"/>
      <c r="AH109" s="51"/>
      <c r="AI109" s="51"/>
      <c r="AM109" s="53" t="s">
        <v>17</v>
      </c>
      <c r="AN109" s="53">
        <v>101.56666666666666</v>
      </c>
      <c r="AO109" s="53" t="s">
        <v>105</v>
      </c>
      <c r="AP109" s="53">
        <f>AN109+AN102</f>
        <v>109.92814608530918</v>
      </c>
    </row>
    <row r="110" spans="1:53" ht="15.5" x14ac:dyDescent="0.3">
      <c r="A110" s="73"/>
      <c r="B110" s="75"/>
      <c r="C110" s="2" t="s">
        <v>17</v>
      </c>
      <c r="D110" s="34">
        <v>102.5</v>
      </c>
      <c r="E110" s="34">
        <v>112.3</v>
      </c>
      <c r="F110" s="34">
        <v>108</v>
      </c>
      <c r="G110" s="34">
        <v>109</v>
      </c>
      <c r="H110" s="34">
        <v>110</v>
      </c>
      <c r="I110" s="34">
        <v>102</v>
      </c>
      <c r="J110" s="34">
        <v>97</v>
      </c>
      <c r="K110" s="34">
        <v>101</v>
      </c>
      <c r="L110" s="34">
        <v>97</v>
      </c>
      <c r="M110" s="34">
        <v>98</v>
      </c>
      <c r="N110" s="34">
        <v>89</v>
      </c>
      <c r="O110" s="34">
        <v>93</v>
      </c>
      <c r="P110" s="34">
        <f t="shared" si="39"/>
        <v>1218.8</v>
      </c>
      <c r="Q110" s="53">
        <f t="shared" si="36"/>
        <v>101.56666666666666</v>
      </c>
      <c r="AA110" s="51"/>
      <c r="AE110" s="51"/>
      <c r="AF110" s="51"/>
      <c r="AG110" s="51"/>
      <c r="AH110" s="51"/>
      <c r="AI110" s="51"/>
      <c r="AM110" s="53" t="s">
        <v>12</v>
      </c>
      <c r="AN110" s="53">
        <v>101.95</v>
      </c>
      <c r="AO110" s="53" t="s">
        <v>105</v>
      </c>
      <c r="AP110" s="53">
        <f>AN110+AN102</f>
        <v>110.31147941864252</v>
      </c>
      <c r="AS110" s="2" t="s">
        <v>46</v>
      </c>
      <c r="AT110" s="53">
        <f>P111^2/(3*3*12)</f>
        <v>1099890.7499999993</v>
      </c>
    </row>
    <row r="111" spans="1:53" ht="15.5" x14ac:dyDescent="0.3">
      <c r="A111" s="73"/>
      <c r="B111" s="75"/>
      <c r="C111" s="2" t="s">
        <v>33</v>
      </c>
      <c r="D111" s="34">
        <f>SUM(D102:D110)</f>
        <v>943.5</v>
      </c>
      <c r="E111" s="34">
        <f t="shared" ref="E111:O111" si="40">SUM(E102:E110)</f>
        <v>974.3</v>
      </c>
      <c r="F111" s="34">
        <f t="shared" si="40"/>
        <v>950.49999999999989</v>
      </c>
      <c r="G111" s="34">
        <f t="shared" si="40"/>
        <v>984.1</v>
      </c>
      <c r="H111" s="34">
        <f t="shared" si="40"/>
        <v>914.4</v>
      </c>
      <c r="I111" s="34">
        <f t="shared" si="40"/>
        <v>920</v>
      </c>
      <c r="J111" s="34">
        <f t="shared" si="40"/>
        <v>919.7</v>
      </c>
      <c r="K111" s="34">
        <f t="shared" si="40"/>
        <v>929.4</v>
      </c>
      <c r="L111" s="34">
        <f t="shared" si="40"/>
        <v>847.5</v>
      </c>
      <c r="M111" s="34">
        <f t="shared" si="40"/>
        <v>845.3</v>
      </c>
      <c r="N111" s="34">
        <f t="shared" si="40"/>
        <v>824</v>
      </c>
      <c r="O111" s="34">
        <f t="shared" si="40"/>
        <v>846.3</v>
      </c>
      <c r="P111" s="34">
        <f>SUM(D111:O111)</f>
        <v>10898.999999999996</v>
      </c>
      <c r="Q111" s="53"/>
      <c r="AA111" s="51"/>
      <c r="AE111" s="51"/>
      <c r="AF111" s="51"/>
      <c r="AG111" s="51"/>
      <c r="AH111" s="51"/>
      <c r="AI111" s="51"/>
      <c r="AM111" s="53" t="s">
        <v>14</v>
      </c>
      <c r="AN111" s="53">
        <v>104.76666666666667</v>
      </c>
      <c r="AO111" s="53" t="s">
        <v>109</v>
      </c>
      <c r="AP111" s="53">
        <f>AN111+AN102</f>
        <v>113.12814608530918</v>
      </c>
    </row>
    <row r="112" spans="1:53" ht="15.5" x14ac:dyDescent="0.3">
      <c r="A112" s="66"/>
      <c r="B112" s="76"/>
      <c r="C112" s="2" t="s">
        <v>32</v>
      </c>
      <c r="D112" s="24">
        <f>AVERAGE(D102:D110)</f>
        <v>104.83333333333333</v>
      </c>
      <c r="E112" s="24">
        <f t="shared" ref="E112:O112" si="41">AVERAGE(E102:E110)</f>
        <v>108.25555555555555</v>
      </c>
      <c r="F112" s="24">
        <f t="shared" si="41"/>
        <v>105.6111111111111</v>
      </c>
      <c r="G112" s="24">
        <f t="shared" si="41"/>
        <v>109.34444444444445</v>
      </c>
      <c r="H112" s="24">
        <f t="shared" si="41"/>
        <v>101.6</v>
      </c>
      <c r="I112" s="24">
        <f t="shared" si="41"/>
        <v>102.22222222222223</v>
      </c>
      <c r="J112" s="24">
        <f t="shared" si="41"/>
        <v>102.1888888888889</v>
      </c>
      <c r="K112" s="24">
        <f t="shared" si="41"/>
        <v>103.26666666666667</v>
      </c>
      <c r="L112" s="24">
        <f t="shared" si="41"/>
        <v>94.166666666666671</v>
      </c>
      <c r="M112" s="24">
        <f t="shared" si="41"/>
        <v>93.922222222222217</v>
      </c>
      <c r="N112" s="24">
        <f t="shared" si="41"/>
        <v>91.555555555555557</v>
      </c>
      <c r="O112" s="24">
        <f t="shared" si="41"/>
        <v>94.033333333333331</v>
      </c>
      <c r="P112" s="34"/>
      <c r="Q112" s="53"/>
      <c r="AA112" s="51"/>
      <c r="AE112" s="51"/>
      <c r="AF112" s="51"/>
      <c r="AG112" s="51"/>
      <c r="AH112" s="51"/>
      <c r="AI112" s="51"/>
      <c r="AM112" s="53" t="s">
        <v>15</v>
      </c>
      <c r="AN112" s="53">
        <v>106.55</v>
      </c>
      <c r="AO112" s="53" t="s">
        <v>110</v>
      </c>
      <c r="AP112" s="53">
        <f>AN112+AN102</f>
        <v>114.91147941864251</v>
      </c>
    </row>
    <row r="113" spans="1:53" ht="15.5" x14ac:dyDescent="0.3">
      <c r="A113" s="5"/>
      <c r="B113" s="5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51"/>
      <c r="AA113" s="51"/>
      <c r="AE113" s="51"/>
      <c r="AF113" s="51"/>
      <c r="AG113" s="51"/>
      <c r="AH113" s="51"/>
      <c r="AI113" s="51"/>
      <c r="AM113" s="53" t="s">
        <v>16</v>
      </c>
      <c r="AN113" s="53">
        <v>110.95</v>
      </c>
      <c r="AO113" s="53" t="s">
        <v>104</v>
      </c>
      <c r="AP113" s="53">
        <f>AN113+AN102</f>
        <v>119.31147941864252</v>
      </c>
    </row>
    <row r="114" spans="1:53" ht="14.5" customHeight="1" x14ac:dyDescent="0.3"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51"/>
      <c r="AA114" s="51"/>
      <c r="AE114" s="51"/>
      <c r="AF114" s="51"/>
      <c r="AG114" s="51"/>
      <c r="AH114" s="51"/>
      <c r="AI114" s="51"/>
      <c r="AM114" s="51"/>
      <c r="AN114" s="51"/>
      <c r="AO114" s="51"/>
      <c r="AP114" s="51"/>
      <c r="AS114" s="6" t="s">
        <v>97</v>
      </c>
    </row>
    <row r="115" spans="1:53" x14ac:dyDescent="0.3">
      <c r="A115" s="3" t="s">
        <v>18</v>
      </c>
      <c r="B115" s="3" t="s">
        <v>20</v>
      </c>
      <c r="C115" s="65" t="s">
        <v>0</v>
      </c>
      <c r="D115" s="88" t="s">
        <v>1</v>
      </c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90"/>
      <c r="P115" s="37"/>
      <c r="Q115" s="67" t="s">
        <v>32</v>
      </c>
      <c r="V115" s="65" t="s">
        <v>53</v>
      </c>
      <c r="W115" s="70" t="s">
        <v>54</v>
      </c>
      <c r="X115" s="71"/>
      <c r="Y115" s="72"/>
      <c r="Z115" s="65" t="s">
        <v>33</v>
      </c>
      <c r="AA115" s="67" t="s">
        <v>32</v>
      </c>
      <c r="AC115" s="65" t="s">
        <v>61</v>
      </c>
      <c r="AD115" s="65" t="s">
        <v>62</v>
      </c>
      <c r="AE115" s="67" t="s">
        <v>63</v>
      </c>
      <c r="AF115" s="67" t="s">
        <v>64</v>
      </c>
      <c r="AG115" s="67" t="s">
        <v>65</v>
      </c>
      <c r="AH115" s="64" t="s">
        <v>66</v>
      </c>
      <c r="AI115" s="64"/>
      <c r="AJ115" s="65" t="s">
        <v>67</v>
      </c>
      <c r="AK115" s="65" t="s">
        <v>68</v>
      </c>
      <c r="AM115" s="80" t="s">
        <v>80</v>
      </c>
      <c r="AN115" s="80"/>
      <c r="AO115" s="51"/>
      <c r="AP115" s="51"/>
      <c r="AS115" s="65" t="s">
        <v>61</v>
      </c>
      <c r="AT115" s="65" t="s">
        <v>62</v>
      </c>
      <c r="AU115" s="65" t="s">
        <v>63</v>
      </c>
      <c r="AV115" s="65" t="s">
        <v>64</v>
      </c>
      <c r="AW115" s="65" t="s">
        <v>65</v>
      </c>
      <c r="AX115" s="69" t="s">
        <v>66</v>
      </c>
      <c r="AY115" s="69"/>
      <c r="AZ115" s="65" t="s">
        <v>67</v>
      </c>
      <c r="BA115" s="65" t="s">
        <v>68</v>
      </c>
    </row>
    <row r="116" spans="1:53" ht="15.5" customHeight="1" x14ac:dyDescent="0.3">
      <c r="A116" s="65">
        <v>8</v>
      </c>
      <c r="B116" s="74" t="s">
        <v>28</v>
      </c>
      <c r="C116" s="73"/>
      <c r="D116" s="88" t="s">
        <v>2</v>
      </c>
      <c r="E116" s="89"/>
      <c r="F116" s="89"/>
      <c r="G116" s="90"/>
      <c r="H116" s="88" t="s">
        <v>7</v>
      </c>
      <c r="I116" s="89"/>
      <c r="J116" s="89"/>
      <c r="K116" s="90"/>
      <c r="L116" s="88" t="s">
        <v>8</v>
      </c>
      <c r="M116" s="89"/>
      <c r="N116" s="89"/>
      <c r="O116" s="90"/>
      <c r="P116" s="38" t="s">
        <v>33</v>
      </c>
      <c r="Q116" s="77"/>
      <c r="S116" s="6" t="s">
        <v>71</v>
      </c>
      <c r="T116" s="6">
        <v>12</v>
      </c>
      <c r="V116" s="66"/>
      <c r="W116" s="3" t="s">
        <v>55</v>
      </c>
      <c r="X116" s="3" t="s">
        <v>56</v>
      </c>
      <c r="Y116" s="3" t="s">
        <v>57</v>
      </c>
      <c r="Z116" s="66"/>
      <c r="AA116" s="68"/>
      <c r="AC116" s="66"/>
      <c r="AD116" s="66"/>
      <c r="AE116" s="68"/>
      <c r="AF116" s="68"/>
      <c r="AG116" s="68"/>
      <c r="AH116" s="59">
        <v>0.05</v>
      </c>
      <c r="AI116" s="59">
        <v>0.01</v>
      </c>
      <c r="AJ116" s="66"/>
      <c r="AK116" s="66"/>
      <c r="AM116" s="54" t="s">
        <v>74</v>
      </c>
      <c r="AN116" s="54">
        <f>SQRT(AF121/12)</f>
        <v>3.2039044160673136</v>
      </c>
      <c r="AO116" s="56"/>
      <c r="AP116" s="55" t="s">
        <v>89</v>
      </c>
      <c r="AS116" s="66"/>
      <c r="AT116" s="66"/>
      <c r="AU116" s="66"/>
      <c r="AV116" s="66"/>
      <c r="AW116" s="66"/>
      <c r="AX116" s="42">
        <v>0.05</v>
      </c>
      <c r="AY116" s="42">
        <v>0.01</v>
      </c>
      <c r="AZ116" s="66"/>
      <c r="BA116" s="66"/>
    </row>
    <row r="117" spans="1:53" x14ac:dyDescent="0.3">
      <c r="A117" s="73"/>
      <c r="B117" s="75"/>
      <c r="C117" s="66"/>
      <c r="D117" s="39" t="s">
        <v>3</v>
      </c>
      <c r="E117" s="39" t="s">
        <v>4</v>
      </c>
      <c r="F117" s="39" t="s">
        <v>5</v>
      </c>
      <c r="G117" s="39" t="s">
        <v>6</v>
      </c>
      <c r="H117" s="39" t="s">
        <v>3</v>
      </c>
      <c r="I117" s="39" t="s">
        <v>4</v>
      </c>
      <c r="J117" s="39" t="s">
        <v>5</v>
      </c>
      <c r="K117" s="39" t="s">
        <v>6</v>
      </c>
      <c r="L117" s="39" t="s">
        <v>3</v>
      </c>
      <c r="M117" s="39" t="s">
        <v>4</v>
      </c>
      <c r="N117" s="39" t="s">
        <v>5</v>
      </c>
      <c r="O117" s="39" t="s">
        <v>6</v>
      </c>
      <c r="P117" s="40"/>
      <c r="Q117" s="68"/>
      <c r="S117" s="6" t="s">
        <v>44</v>
      </c>
      <c r="T117" s="6">
        <v>3</v>
      </c>
      <c r="V117" s="3" t="s">
        <v>58</v>
      </c>
      <c r="W117" s="35">
        <f>SUM(D118:O118)</f>
        <v>1193.5999999999999</v>
      </c>
      <c r="X117" s="35">
        <f>SUM(D119:O119)</f>
        <v>1172</v>
      </c>
      <c r="Y117" s="35">
        <f>SUM(D120:O120)</f>
        <v>1275</v>
      </c>
      <c r="Z117" s="35">
        <f>SUM(W117:Y117)</f>
        <v>3640.6</v>
      </c>
      <c r="AA117" s="53">
        <f>AVERAGE(W117:Y117)</f>
        <v>1213.5333333333333</v>
      </c>
      <c r="AC117" s="3" t="s">
        <v>43</v>
      </c>
      <c r="AD117" s="2">
        <f>12-1</f>
        <v>11</v>
      </c>
      <c r="AE117" s="53">
        <f>T121</f>
        <v>6087.58629629598</v>
      </c>
      <c r="AF117" s="53">
        <f>AE117/AD117</f>
        <v>553.41693602690725</v>
      </c>
      <c r="AG117" s="53">
        <f>AF117/AF121</f>
        <v>4.492748392094053</v>
      </c>
      <c r="AH117" s="53">
        <f>FINV(AH116,AD117,AD121)</f>
        <v>1.8991710184693407</v>
      </c>
      <c r="AI117" s="53">
        <f>FINV(AI116,AD117,AD121)</f>
        <v>2.4560580535880434</v>
      </c>
      <c r="AJ117" s="30" t="s">
        <v>72</v>
      </c>
      <c r="AK117" s="2"/>
      <c r="AM117" s="53" t="s">
        <v>75</v>
      </c>
      <c r="AN117" s="54">
        <v>4.46</v>
      </c>
      <c r="AO117" s="51"/>
      <c r="AP117" s="51"/>
      <c r="AS117" s="3" t="s">
        <v>43</v>
      </c>
      <c r="AT117" s="2">
        <f>12-1</f>
        <v>11</v>
      </c>
      <c r="AU117" s="6">
        <f>SUMSQ(D127:O127)/(3*3)-AT126</f>
        <v>6087.58629629598</v>
      </c>
      <c r="AV117" s="53">
        <f>AU117/AT117</f>
        <v>553.41693602690725</v>
      </c>
      <c r="AW117" s="53">
        <f>AV117/AV122</f>
        <v>4.492748392094053</v>
      </c>
      <c r="AX117" s="53">
        <f>FINV(AX116,AT117,AT122)</f>
        <v>1.8991710184693407</v>
      </c>
      <c r="AY117" s="53">
        <f>FINV(AY116,AT117,AT122)</f>
        <v>2.4560580535880434</v>
      </c>
      <c r="AZ117" s="2" t="str">
        <f>IF(AW117&gt;AY117,"**",IF(AW117&gt;AX117,"*","TN"))</f>
        <v>**</v>
      </c>
      <c r="BA117" s="2" t="str">
        <f>IF(AZ117="TN","Tidak Nyata",IF(AZ117="*","Nyata",IF(AZ117="**","Sangat Nyata",0)))</f>
        <v>Sangat Nyata</v>
      </c>
    </row>
    <row r="118" spans="1:53" ht="15.5" x14ac:dyDescent="0.3">
      <c r="A118" s="73"/>
      <c r="B118" s="75"/>
      <c r="C118" s="2" t="s">
        <v>9</v>
      </c>
      <c r="D118" s="34">
        <v>106</v>
      </c>
      <c r="E118" s="34">
        <v>111</v>
      </c>
      <c r="F118" s="34">
        <v>102</v>
      </c>
      <c r="G118" s="34">
        <v>110.7</v>
      </c>
      <c r="H118" s="34">
        <v>90</v>
      </c>
      <c r="I118" s="34">
        <v>97.6</v>
      </c>
      <c r="J118" s="34">
        <v>91</v>
      </c>
      <c r="K118" s="34">
        <v>98.3</v>
      </c>
      <c r="L118" s="34">
        <v>92</v>
      </c>
      <c r="M118" s="34">
        <v>96</v>
      </c>
      <c r="N118" s="34">
        <v>95.7</v>
      </c>
      <c r="O118" s="34">
        <v>103.3</v>
      </c>
      <c r="P118" s="34">
        <f>SUM(D118:O118)</f>
        <v>1193.5999999999999</v>
      </c>
      <c r="Q118" s="53">
        <f t="shared" ref="Q118:Q126" si="42">AVERAGE(D118:O118)</f>
        <v>99.466666666666654</v>
      </c>
      <c r="S118" s="6" t="s">
        <v>45</v>
      </c>
      <c r="T118" s="6">
        <v>3</v>
      </c>
      <c r="V118" s="3" t="s">
        <v>59</v>
      </c>
      <c r="W118" s="35">
        <f>SUM(D121:O121)</f>
        <v>1335.6000000000001</v>
      </c>
      <c r="X118" s="35">
        <f>SUM(D122:O122)</f>
        <v>1235.8</v>
      </c>
      <c r="Y118" s="35">
        <f>SUM(D123:O123)</f>
        <v>1321.6000000000001</v>
      </c>
      <c r="Z118" s="35">
        <f>SUM(W118:Y118)</f>
        <v>3893</v>
      </c>
      <c r="AA118" s="53">
        <f>AVERAGE(W118:Y118)</f>
        <v>1297.6666666666667</v>
      </c>
      <c r="AC118" s="3" t="s">
        <v>45</v>
      </c>
      <c r="AD118" s="2">
        <f>3-1</f>
        <v>2</v>
      </c>
      <c r="AE118" s="53">
        <f>T122</f>
        <v>121.10518518509343</v>
      </c>
      <c r="AF118" s="53">
        <f>AE118/AD118</f>
        <v>60.552592592546716</v>
      </c>
      <c r="AG118" s="53">
        <f>AF118/AF121</f>
        <v>0.49157795018051909</v>
      </c>
      <c r="AH118" s="53">
        <f>FINV(AH116,AD118,AD121)</f>
        <v>3.1000686386371408</v>
      </c>
      <c r="AI118" s="53">
        <f>FINV(AI116,AD118,AD121)</f>
        <v>4.8547979993760721</v>
      </c>
      <c r="AJ118" s="30" t="s">
        <v>72</v>
      </c>
      <c r="AK118" s="2"/>
      <c r="AM118" s="53" t="s">
        <v>76</v>
      </c>
      <c r="AN118" s="54">
        <f>AN117*AN116</f>
        <v>14.289413695660219</v>
      </c>
      <c r="AO118" s="51"/>
      <c r="AP118" s="51"/>
      <c r="AS118" s="3" t="s">
        <v>98</v>
      </c>
      <c r="AT118" s="2">
        <f>3*3-1</f>
        <v>8</v>
      </c>
      <c r="AU118" s="53">
        <f>SUMSQ(P118:P126)/12-AT126</f>
        <v>4449.4807407404296</v>
      </c>
      <c r="AV118" s="53">
        <f t="shared" ref="AV118:AV122" si="43">AU118/AT118</f>
        <v>556.1850925925537</v>
      </c>
      <c r="AW118" s="53">
        <f>AV118/AV122</f>
        <v>4.5152208358335919</v>
      </c>
      <c r="AX118" s="53">
        <f>FINV(AX116,AT118,AT122)</f>
        <v>2.0454143150341193</v>
      </c>
      <c r="AY118" s="53">
        <f>FINV(AY116,AT118,AT122)</f>
        <v>2.720181875728696</v>
      </c>
      <c r="AZ118" s="2" t="str">
        <f>IF(AW118&gt;AY118,"**",IF(AW118&gt;AX118,"*","TN"))</f>
        <v>**</v>
      </c>
      <c r="BA118" s="2" t="str">
        <f t="shared" ref="BA118:BA121" si="44">IF(AZ118="TN","Tidak Nyata",IF(AZ118="*","Nyata",IF(AZ118="**","Sangat Nyata",0)))</f>
        <v>Sangat Nyata</v>
      </c>
    </row>
    <row r="119" spans="1:53" ht="15.5" x14ac:dyDescent="0.3">
      <c r="A119" s="73"/>
      <c r="B119" s="75"/>
      <c r="C119" s="2" t="s">
        <v>10</v>
      </c>
      <c r="D119" s="35">
        <v>108</v>
      </c>
      <c r="E119" s="35">
        <v>106</v>
      </c>
      <c r="F119" s="35">
        <v>106</v>
      </c>
      <c r="G119" s="35">
        <v>105</v>
      </c>
      <c r="H119" s="35">
        <v>106</v>
      </c>
      <c r="I119" s="35">
        <v>106</v>
      </c>
      <c r="J119" s="35">
        <v>106</v>
      </c>
      <c r="K119" s="35">
        <v>107</v>
      </c>
      <c r="L119" s="35">
        <v>108</v>
      </c>
      <c r="M119" s="35"/>
      <c r="N119" s="35">
        <v>107</v>
      </c>
      <c r="O119" s="35">
        <v>107</v>
      </c>
      <c r="P119" s="34">
        <f t="shared" ref="P119:P127" si="45">SUM(D119:O119)</f>
        <v>1172</v>
      </c>
      <c r="Q119" s="53">
        <f t="shared" si="42"/>
        <v>106.54545454545455</v>
      </c>
      <c r="S119" s="6" t="s">
        <v>46</v>
      </c>
      <c r="T119" s="51">
        <f>(P127^2)/(12*3*3)</f>
        <v>1252938.7292592595</v>
      </c>
      <c r="V119" s="3" t="s">
        <v>60</v>
      </c>
      <c r="W119" s="35">
        <f>SUM(D124:O124)</f>
        <v>1379</v>
      </c>
      <c r="X119" s="35">
        <f>SUM(D125:O125)</f>
        <v>1416</v>
      </c>
      <c r="Y119" s="35">
        <f>SUM(D126:O126)</f>
        <v>1304</v>
      </c>
      <c r="Z119" s="35">
        <f>SUM(W119:Y119)</f>
        <v>4099</v>
      </c>
      <c r="AA119" s="53">
        <f>AVERAGE(W119:Y119)</f>
        <v>1366.3333333333333</v>
      </c>
      <c r="AC119" s="3" t="s">
        <v>44</v>
      </c>
      <c r="AD119" s="2">
        <f>3-1</f>
        <v>2</v>
      </c>
      <c r="AE119" s="53">
        <f>T123</f>
        <v>2928.4474074072205</v>
      </c>
      <c r="AF119" s="53">
        <f>AE119/AD119</f>
        <v>1464.2237037036102</v>
      </c>
      <c r="AG119" s="53">
        <f>AF119/AF121</f>
        <v>11.88685828393324</v>
      </c>
      <c r="AH119" s="53">
        <f>FINV(AH116,AD119,AD121)</f>
        <v>3.1000686386371408</v>
      </c>
      <c r="AI119" s="53">
        <f>FINV(AI116,AD119,AD121)</f>
        <v>4.8547979993760721</v>
      </c>
      <c r="AJ119" s="30" t="s">
        <v>72</v>
      </c>
      <c r="AK119" s="2"/>
      <c r="AM119" s="51"/>
      <c r="AN119" s="51"/>
      <c r="AO119" s="51"/>
      <c r="AP119" s="51"/>
      <c r="AS119" s="3" t="s">
        <v>45</v>
      </c>
      <c r="AT119" s="2">
        <f>3-1</f>
        <v>2</v>
      </c>
      <c r="AU119" s="53">
        <f>SUMSQ(W120:Y120)/(3*12)-AT126</f>
        <v>121.10518518509343</v>
      </c>
      <c r="AV119" s="53">
        <f t="shared" si="43"/>
        <v>60.552592592546716</v>
      </c>
      <c r="AW119" s="53">
        <f>AV119/AV122</f>
        <v>0.49157795018051909</v>
      </c>
      <c r="AX119" s="53">
        <f>FINV(AX116,AT119,AT122)</f>
        <v>3.1000686386371408</v>
      </c>
      <c r="AY119" s="53">
        <f>FINV(AY116,AT119,AT122)</f>
        <v>4.8547979993760721</v>
      </c>
      <c r="AZ119" s="2" t="str">
        <f>IF(AW119&gt;AY119,"**",IF(AW119&gt;AX119,"*","TN"))</f>
        <v>TN</v>
      </c>
      <c r="BA119" s="2" t="str">
        <f t="shared" si="44"/>
        <v>Tidak Nyata</v>
      </c>
    </row>
    <row r="120" spans="1:53" ht="15.5" x14ac:dyDescent="0.3">
      <c r="A120" s="73"/>
      <c r="B120" s="75"/>
      <c r="C120" s="2" t="s">
        <v>11</v>
      </c>
      <c r="D120" s="35">
        <v>106</v>
      </c>
      <c r="E120" s="35">
        <v>105</v>
      </c>
      <c r="F120" s="35">
        <v>107</v>
      </c>
      <c r="G120" s="35">
        <v>108</v>
      </c>
      <c r="H120" s="35">
        <v>107</v>
      </c>
      <c r="I120" s="35">
        <v>106</v>
      </c>
      <c r="J120" s="35">
        <v>106</v>
      </c>
      <c r="K120" s="35">
        <v>105</v>
      </c>
      <c r="L120" s="35">
        <v>107</v>
      </c>
      <c r="M120" s="35">
        <v>106</v>
      </c>
      <c r="N120" s="35">
        <v>106</v>
      </c>
      <c r="O120" s="35">
        <v>106</v>
      </c>
      <c r="P120" s="34">
        <f t="shared" si="45"/>
        <v>1275</v>
      </c>
      <c r="Q120" s="53">
        <f t="shared" si="42"/>
        <v>106.25</v>
      </c>
      <c r="S120" s="6" t="s">
        <v>47</v>
      </c>
      <c r="T120" s="51">
        <f>SUMSQ(D118:O126)-T119</f>
        <v>21376.910740740597</v>
      </c>
      <c r="V120" s="3" t="s">
        <v>33</v>
      </c>
      <c r="W120" s="35">
        <f>SUM(W117:W119)</f>
        <v>3908.2</v>
      </c>
      <c r="X120" s="35">
        <f>SUM(X117:X119)</f>
        <v>3823.8</v>
      </c>
      <c r="Y120" s="35">
        <f>SUM(Y117:Y119)</f>
        <v>3900.6000000000004</v>
      </c>
      <c r="Z120" s="35">
        <f>SUM(W120:Y120)</f>
        <v>11632.6</v>
      </c>
      <c r="AA120" s="53">
        <f>AVERAGE(W120:Y120)</f>
        <v>3877.5333333333333</v>
      </c>
      <c r="AC120" s="3" t="s">
        <v>69</v>
      </c>
      <c r="AD120" s="2">
        <f>(3-1)*(3-1)</f>
        <v>4</v>
      </c>
      <c r="AE120" s="53">
        <f>T124</f>
        <v>1399.9281481481157</v>
      </c>
      <c r="AF120" s="53">
        <f>AE120/AD120</f>
        <v>349.98203703702893</v>
      </c>
      <c r="AG120" s="53">
        <f>AF120/AF121</f>
        <v>2.8412235546103051</v>
      </c>
      <c r="AH120" s="53">
        <f>FINV(AH116,AD120,AD121)</f>
        <v>2.4752774088696223</v>
      </c>
      <c r="AI120" s="53">
        <f>FINV(AI116,AD120,AD121)</f>
        <v>3.5400845421240663</v>
      </c>
      <c r="AJ120" s="30" t="s">
        <v>72</v>
      </c>
      <c r="AK120" s="2"/>
      <c r="AM120" s="54" t="s">
        <v>0</v>
      </c>
      <c r="AN120" s="54" t="s">
        <v>32</v>
      </c>
      <c r="AO120" s="54" t="s">
        <v>67</v>
      </c>
      <c r="AP120" s="54" t="s">
        <v>77</v>
      </c>
      <c r="AS120" s="3" t="s">
        <v>44</v>
      </c>
      <c r="AT120" s="2">
        <f>3-1</f>
        <v>2</v>
      </c>
      <c r="AU120" s="53">
        <f>SUMSQ(Z117:Z119)/(3*12)-AT126</f>
        <v>2928.4474074072205</v>
      </c>
      <c r="AV120" s="53">
        <f t="shared" si="43"/>
        <v>1464.2237037036102</v>
      </c>
      <c r="AW120" s="53">
        <f>AV120/AV122</f>
        <v>11.88685828393324</v>
      </c>
      <c r="AX120" s="53">
        <f>FINV(AX116,AT120,AT122)</f>
        <v>3.1000686386371408</v>
      </c>
      <c r="AY120" s="53">
        <f>FINV(AY116,AT120,AT122)</f>
        <v>4.8547979993760721</v>
      </c>
      <c r="AZ120" s="2" t="str">
        <f>IF(AW120&gt;AY120,"**",IF(AW120&gt;AX120,"*","TN"))</f>
        <v>**</v>
      </c>
      <c r="BA120" s="2" t="str">
        <f t="shared" si="44"/>
        <v>Sangat Nyata</v>
      </c>
    </row>
    <row r="121" spans="1:53" ht="15.5" x14ac:dyDescent="0.3">
      <c r="A121" s="73"/>
      <c r="B121" s="75"/>
      <c r="C121" s="2" t="s">
        <v>12</v>
      </c>
      <c r="D121" s="34">
        <v>121.3</v>
      </c>
      <c r="E121" s="34">
        <v>125.6</v>
      </c>
      <c r="F121" s="34">
        <v>116.1</v>
      </c>
      <c r="G121" s="34">
        <v>123.9</v>
      </c>
      <c r="H121" s="34">
        <v>106.9</v>
      </c>
      <c r="I121" s="34">
        <v>111.3</v>
      </c>
      <c r="J121" s="34">
        <v>109.7</v>
      </c>
      <c r="K121" s="34">
        <v>106.2</v>
      </c>
      <c r="L121" s="34">
        <v>98.4</v>
      </c>
      <c r="M121" s="34">
        <v>106</v>
      </c>
      <c r="N121" s="34">
        <v>105.3</v>
      </c>
      <c r="O121" s="34">
        <v>104.9</v>
      </c>
      <c r="P121" s="34">
        <f t="shared" si="45"/>
        <v>1335.6000000000001</v>
      </c>
      <c r="Q121" s="53">
        <f t="shared" si="42"/>
        <v>111.30000000000001</v>
      </c>
      <c r="S121" s="6" t="s">
        <v>48</v>
      </c>
      <c r="T121" s="51">
        <f>(SUMSQ(D127:O127)/(3*3))-T119</f>
        <v>6087.58629629598</v>
      </c>
      <c r="V121" s="3" t="s">
        <v>32</v>
      </c>
      <c r="W121" s="53">
        <f>AVERAGE(W117:W119)</f>
        <v>1302.7333333333333</v>
      </c>
      <c r="X121" s="53">
        <f>AVERAGE(X117:X119)</f>
        <v>1274.6000000000001</v>
      </c>
      <c r="Y121" s="53">
        <f>AVERAGE(Y117:Y119)</f>
        <v>1300.2</v>
      </c>
      <c r="Z121" s="33"/>
      <c r="AA121" s="53"/>
      <c r="AC121" s="3" t="s">
        <v>70</v>
      </c>
      <c r="AD121" s="2">
        <f>((3*3)-1)*(12-1)</f>
        <v>88</v>
      </c>
      <c r="AE121" s="53">
        <f>T125</f>
        <v>10839.843703704188</v>
      </c>
      <c r="AF121" s="53">
        <f>AE121/AD121</f>
        <v>123.18004208754759</v>
      </c>
      <c r="AG121" s="53"/>
      <c r="AH121" s="53"/>
      <c r="AI121" s="53"/>
      <c r="AJ121" s="2"/>
      <c r="AK121" s="2"/>
      <c r="AM121" s="53" t="s">
        <v>9</v>
      </c>
      <c r="AN121" s="53">
        <v>99.466666666666654</v>
      </c>
      <c r="AO121" s="53" t="s">
        <v>93</v>
      </c>
      <c r="AP121" s="53">
        <f>AN121+AN118</f>
        <v>113.75608036232687</v>
      </c>
      <c r="AS121" s="3" t="s">
        <v>69</v>
      </c>
      <c r="AT121" s="2">
        <f>AT119*AT120</f>
        <v>4</v>
      </c>
      <c r="AU121" s="53">
        <f>AU118-AU119-AU120</f>
        <v>1399.9281481481157</v>
      </c>
      <c r="AV121" s="53">
        <f t="shared" si="43"/>
        <v>349.98203703702893</v>
      </c>
      <c r="AW121" s="53">
        <f>AV121/AV122</f>
        <v>2.8412235546103051</v>
      </c>
      <c r="AX121" s="53">
        <f>FINV(AX116,AT121,AT122)</f>
        <v>2.4752774088696223</v>
      </c>
      <c r="AY121" s="53">
        <f>FINV(AY116,AT121,AT122)</f>
        <v>3.5400845421240663</v>
      </c>
      <c r="AZ121" s="2" t="str">
        <f>IF(AW121&gt;AY121,"**",IF(AW121&gt;AX121,"*","TN"))</f>
        <v>*</v>
      </c>
      <c r="BA121" s="2" t="str">
        <f t="shared" si="44"/>
        <v>Nyata</v>
      </c>
    </row>
    <row r="122" spans="1:53" ht="15.5" x14ac:dyDescent="0.3">
      <c r="A122" s="73"/>
      <c r="B122" s="75"/>
      <c r="C122" s="2" t="s">
        <v>13</v>
      </c>
      <c r="D122" s="34">
        <v>116.3</v>
      </c>
      <c r="E122" s="34">
        <v>105.7</v>
      </c>
      <c r="F122" s="34">
        <v>107.1</v>
      </c>
      <c r="G122" s="34">
        <v>112.3</v>
      </c>
      <c r="H122" s="34">
        <v>108.5</v>
      </c>
      <c r="I122" s="34">
        <v>107</v>
      </c>
      <c r="J122" s="34">
        <v>108.2</v>
      </c>
      <c r="K122" s="34">
        <v>106</v>
      </c>
      <c r="L122" s="34">
        <v>98.9</v>
      </c>
      <c r="M122" s="34">
        <v>91.5</v>
      </c>
      <c r="N122" s="34">
        <v>84.7</v>
      </c>
      <c r="O122" s="34">
        <v>89.6</v>
      </c>
      <c r="P122" s="34">
        <f t="shared" si="45"/>
        <v>1235.8</v>
      </c>
      <c r="Q122" s="53">
        <f t="shared" si="42"/>
        <v>102.98333333333333</v>
      </c>
      <c r="S122" s="6" t="s">
        <v>50</v>
      </c>
      <c r="T122" s="51">
        <f>(SUMSQ(W120:Y120)/(12*3))-T119</f>
        <v>121.10518518509343</v>
      </c>
      <c r="W122" s="44"/>
      <c r="X122" s="44"/>
      <c r="Y122" s="44"/>
      <c r="Z122" s="44"/>
      <c r="AA122" s="51"/>
      <c r="AC122" s="3" t="s">
        <v>33</v>
      </c>
      <c r="AD122" s="2">
        <f>(3*3*12)-1</f>
        <v>107</v>
      </c>
      <c r="AE122" s="53">
        <f>T120</f>
        <v>21376.910740740597</v>
      </c>
      <c r="AF122" s="53"/>
      <c r="AG122" s="53"/>
      <c r="AH122" s="53"/>
      <c r="AI122" s="53"/>
      <c r="AJ122" s="2"/>
      <c r="AK122" s="2"/>
      <c r="AM122" s="53" t="s">
        <v>13</v>
      </c>
      <c r="AN122" s="53">
        <v>102.98333333333333</v>
      </c>
      <c r="AO122" s="53" t="s">
        <v>99</v>
      </c>
      <c r="AP122" s="53">
        <f>AN122+AN118</f>
        <v>117.27274702899355</v>
      </c>
      <c r="AS122" s="3" t="s">
        <v>70</v>
      </c>
      <c r="AT122" s="2">
        <f>AT123-AT117-AT118</f>
        <v>88</v>
      </c>
      <c r="AU122" s="53">
        <f>AU123-AU117-AU118</f>
        <v>10839.843703704188</v>
      </c>
      <c r="AV122" s="53">
        <f t="shared" si="43"/>
        <v>123.18004208754759</v>
      </c>
      <c r="AW122" s="53"/>
      <c r="AX122" s="53"/>
      <c r="AY122" s="53"/>
      <c r="AZ122" s="2"/>
      <c r="BA122" s="2"/>
    </row>
    <row r="123" spans="1:53" ht="15.5" customHeight="1" x14ac:dyDescent="0.3">
      <c r="A123" s="73"/>
      <c r="B123" s="75"/>
      <c r="C123" s="2" t="s">
        <v>14</v>
      </c>
      <c r="D123" s="34">
        <v>103.9</v>
      </c>
      <c r="E123" s="34">
        <v>119.6</v>
      </c>
      <c r="F123" s="34">
        <v>115.8</v>
      </c>
      <c r="G123" s="34">
        <v>113.9</v>
      </c>
      <c r="H123" s="34">
        <v>118</v>
      </c>
      <c r="I123" s="34">
        <v>114.3</v>
      </c>
      <c r="J123" s="34">
        <v>113.2</v>
      </c>
      <c r="K123" s="34">
        <v>115.4</v>
      </c>
      <c r="L123" s="34">
        <v>109.4</v>
      </c>
      <c r="M123" s="34">
        <v>99.4</v>
      </c>
      <c r="N123" s="34">
        <v>96.4</v>
      </c>
      <c r="O123" s="34">
        <v>102.3</v>
      </c>
      <c r="P123" s="34">
        <f t="shared" si="45"/>
        <v>1321.6000000000001</v>
      </c>
      <c r="Q123" s="53">
        <f t="shared" si="42"/>
        <v>110.13333333333334</v>
      </c>
      <c r="S123" s="6" t="s">
        <v>49</v>
      </c>
      <c r="T123" s="51">
        <f>(SUMSQ(Z117:Z119)/(12*3))-T119</f>
        <v>2928.4474074072205</v>
      </c>
      <c r="W123" s="44"/>
      <c r="X123" s="44"/>
      <c r="Y123" s="44"/>
      <c r="Z123" s="44"/>
      <c r="AA123" s="51"/>
      <c r="AE123" s="51"/>
      <c r="AF123" s="51"/>
      <c r="AG123" s="51"/>
      <c r="AH123" s="51"/>
      <c r="AI123" s="51"/>
      <c r="AM123" s="53" t="s">
        <v>11</v>
      </c>
      <c r="AN123" s="53">
        <v>106.25</v>
      </c>
      <c r="AO123" s="53" t="s">
        <v>100</v>
      </c>
      <c r="AP123" s="53">
        <f>AN123+AN118</f>
        <v>120.53941369566022</v>
      </c>
      <c r="AS123" s="3" t="s">
        <v>33</v>
      </c>
      <c r="AT123" s="2">
        <f>(3*3*12)-1</f>
        <v>107</v>
      </c>
      <c r="AU123" s="53">
        <f>SUMSQ(D118:O126)-AT126</f>
        <v>21376.910740740597</v>
      </c>
      <c r="AV123" s="53"/>
      <c r="AW123" s="53"/>
      <c r="AX123" s="53"/>
      <c r="AY123" s="53"/>
      <c r="AZ123" s="2"/>
      <c r="BA123" s="2"/>
    </row>
    <row r="124" spans="1:53" ht="15.5" x14ac:dyDescent="0.3">
      <c r="A124" s="73"/>
      <c r="B124" s="75"/>
      <c r="C124" s="2" t="s">
        <v>15</v>
      </c>
      <c r="D124" s="34">
        <v>123</v>
      </c>
      <c r="E124" s="34">
        <v>130</v>
      </c>
      <c r="F124" s="34">
        <v>126</v>
      </c>
      <c r="G124" s="34">
        <v>134</v>
      </c>
      <c r="H124" s="34">
        <v>112</v>
      </c>
      <c r="I124" s="34">
        <v>115</v>
      </c>
      <c r="J124" s="34">
        <v>116</v>
      </c>
      <c r="K124" s="34">
        <v>114</v>
      </c>
      <c r="L124" s="34">
        <v>106</v>
      </c>
      <c r="M124" s="34">
        <v>97</v>
      </c>
      <c r="N124" s="34">
        <v>110</v>
      </c>
      <c r="O124" s="34">
        <v>96</v>
      </c>
      <c r="P124" s="34">
        <f t="shared" si="45"/>
        <v>1379</v>
      </c>
      <c r="Q124" s="53">
        <f t="shared" si="42"/>
        <v>114.91666666666667</v>
      </c>
      <c r="S124" s="6" t="s">
        <v>51</v>
      </c>
      <c r="T124" s="51">
        <f>(SUMSQ(W117:Y119)/(12))-T119-T122-T123</f>
        <v>1399.9281481481157</v>
      </c>
      <c r="W124" s="44"/>
      <c r="X124" s="44"/>
      <c r="Y124" s="44"/>
      <c r="Z124" s="44"/>
      <c r="AA124" s="51"/>
      <c r="AE124" s="51"/>
      <c r="AF124" s="51"/>
      <c r="AG124" s="51"/>
      <c r="AH124" s="51"/>
      <c r="AI124" s="51"/>
      <c r="AM124" s="53" t="s">
        <v>10</v>
      </c>
      <c r="AN124" s="53">
        <v>106.54545454545455</v>
      </c>
      <c r="AO124" s="53" t="s">
        <v>100</v>
      </c>
      <c r="AP124" s="53">
        <f>AN124+AN118</f>
        <v>120.83486824111476</v>
      </c>
    </row>
    <row r="125" spans="1:53" ht="15.5" x14ac:dyDescent="0.3">
      <c r="A125" s="73"/>
      <c r="B125" s="75"/>
      <c r="C125" s="2" t="s">
        <v>16</v>
      </c>
      <c r="D125" s="34">
        <v>123</v>
      </c>
      <c r="E125" s="34">
        <v>126</v>
      </c>
      <c r="F125" s="34">
        <v>131</v>
      </c>
      <c r="G125" s="34">
        <v>139</v>
      </c>
      <c r="H125" s="34">
        <v>115</v>
      </c>
      <c r="I125" s="34">
        <v>115</v>
      </c>
      <c r="J125" s="34">
        <v>119</v>
      </c>
      <c r="K125" s="34">
        <v>120</v>
      </c>
      <c r="L125" s="34">
        <v>101</v>
      </c>
      <c r="M125" s="34">
        <v>106</v>
      </c>
      <c r="N125" s="34">
        <v>112</v>
      </c>
      <c r="O125" s="34">
        <v>109</v>
      </c>
      <c r="P125" s="34">
        <f t="shared" si="45"/>
        <v>1416</v>
      </c>
      <c r="Q125" s="53">
        <f t="shared" si="42"/>
        <v>118</v>
      </c>
      <c r="S125" s="6" t="s">
        <v>52</v>
      </c>
      <c r="T125" s="51">
        <f>T120-T121-T122-T123-T124</f>
        <v>10839.843703704188</v>
      </c>
      <c r="W125" s="44"/>
      <c r="X125" s="44"/>
      <c r="Y125" s="44"/>
      <c r="Z125" s="44"/>
      <c r="AA125" s="51"/>
      <c r="AE125" s="51"/>
      <c r="AF125" s="51"/>
      <c r="AG125" s="51"/>
      <c r="AH125" s="51"/>
      <c r="AI125" s="51"/>
      <c r="AM125" s="53" t="s">
        <v>17</v>
      </c>
      <c r="AN125" s="53">
        <v>108.66666666666667</v>
      </c>
      <c r="AO125" s="53" t="s">
        <v>100</v>
      </c>
      <c r="AP125" s="53">
        <f>AN125+AN118</f>
        <v>122.95608036232689</v>
      </c>
    </row>
    <row r="126" spans="1:53" ht="15.5" x14ac:dyDescent="0.3">
      <c r="A126" s="73"/>
      <c r="B126" s="75"/>
      <c r="C126" s="2" t="s">
        <v>17</v>
      </c>
      <c r="D126" s="34">
        <v>105</v>
      </c>
      <c r="E126" s="34">
        <v>118</v>
      </c>
      <c r="F126" s="34">
        <v>114</v>
      </c>
      <c r="G126" s="34">
        <v>113</v>
      </c>
      <c r="H126" s="34">
        <v>114</v>
      </c>
      <c r="I126" s="34">
        <v>107</v>
      </c>
      <c r="J126" s="34">
        <v>119</v>
      </c>
      <c r="K126" s="34">
        <v>112</v>
      </c>
      <c r="L126" s="34">
        <v>102</v>
      </c>
      <c r="M126" s="34">
        <v>103</v>
      </c>
      <c r="N126" s="34">
        <v>96</v>
      </c>
      <c r="O126" s="34">
        <v>101</v>
      </c>
      <c r="P126" s="34">
        <f t="shared" si="45"/>
        <v>1304</v>
      </c>
      <c r="Q126" s="53">
        <f t="shared" si="42"/>
        <v>108.66666666666667</v>
      </c>
      <c r="W126" s="44"/>
      <c r="X126" s="44"/>
      <c r="Y126" s="44"/>
      <c r="Z126" s="44"/>
      <c r="AA126" s="51"/>
      <c r="AE126" s="51"/>
      <c r="AF126" s="51"/>
      <c r="AG126" s="51"/>
      <c r="AH126" s="51"/>
      <c r="AI126" s="51"/>
      <c r="AM126" s="53" t="s">
        <v>14</v>
      </c>
      <c r="AN126" s="53">
        <v>110.13333333333334</v>
      </c>
      <c r="AO126" s="53" t="s">
        <v>100</v>
      </c>
      <c r="AP126" s="53">
        <f>AN126+AN118</f>
        <v>124.42274702899356</v>
      </c>
      <c r="AS126" s="2" t="s">
        <v>46</v>
      </c>
      <c r="AT126" s="53">
        <f>P127^2/(3*3*12)</f>
        <v>1252938.7292592595</v>
      </c>
    </row>
    <row r="127" spans="1:53" ht="15.5" x14ac:dyDescent="0.3">
      <c r="A127" s="73"/>
      <c r="B127" s="75"/>
      <c r="C127" s="2" t="s">
        <v>33</v>
      </c>
      <c r="D127" s="34">
        <f>SUM(D118:D126)</f>
        <v>1012.5</v>
      </c>
      <c r="E127" s="34">
        <f t="shared" ref="E127:O127" si="46">SUM(E118:E126)</f>
        <v>1046.9000000000001</v>
      </c>
      <c r="F127" s="34">
        <f t="shared" si="46"/>
        <v>1025</v>
      </c>
      <c r="G127" s="34">
        <f t="shared" si="46"/>
        <v>1059.8</v>
      </c>
      <c r="H127" s="34">
        <f t="shared" si="46"/>
        <v>977.4</v>
      </c>
      <c r="I127" s="34">
        <f t="shared" si="46"/>
        <v>979.2</v>
      </c>
      <c r="J127" s="34">
        <f t="shared" si="46"/>
        <v>988.1</v>
      </c>
      <c r="K127" s="34">
        <f t="shared" si="46"/>
        <v>983.9</v>
      </c>
      <c r="L127" s="34">
        <f t="shared" si="46"/>
        <v>922.69999999999993</v>
      </c>
      <c r="M127" s="34">
        <f t="shared" si="46"/>
        <v>804.9</v>
      </c>
      <c r="N127" s="34">
        <f t="shared" si="46"/>
        <v>913.1</v>
      </c>
      <c r="O127" s="34">
        <f t="shared" si="46"/>
        <v>919.1</v>
      </c>
      <c r="P127" s="34">
        <f t="shared" si="45"/>
        <v>11632.6</v>
      </c>
      <c r="Q127" s="53"/>
      <c r="W127" s="44"/>
      <c r="X127" s="44"/>
      <c r="Y127" s="44"/>
      <c r="Z127" s="44"/>
      <c r="AA127" s="51"/>
      <c r="AE127" s="51"/>
      <c r="AF127" s="51"/>
      <c r="AG127" s="51"/>
      <c r="AH127" s="51"/>
      <c r="AI127" s="51"/>
      <c r="AM127" s="53" t="s">
        <v>12</v>
      </c>
      <c r="AN127" s="53">
        <v>111.30000000000001</v>
      </c>
      <c r="AO127" s="53" t="s">
        <v>100</v>
      </c>
      <c r="AP127" s="53">
        <f>AN127+AN118</f>
        <v>125.58941369566023</v>
      </c>
    </row>
    <row r="128" spans="1:53" ht="15.5" x14ac:dyDescent="0.3">
      <c r="A128" s="66"/>
      <c r="B128" s="76"/>
      <c r="C128" s="2" t="s">
        <v>32</v>
      </c>
      <c r="D128" s="24">
        <f>AVERAGE(D118:D126)</f>
        <v>112.5</v>
      </c>
      <c r="E128" s="24">
        <f t="shared" ref="E128:O128" si="47">AVERAGE(E118:E126)</f>
        <v>116.32222222222224</v>
      </c>
      <c r="F128" s="24">
        <f t="shared" si="47"/>
        <v>113.88888888888889</v>
      </c>
      <c r="G128" s="24">
        <f t="shared" si="47"/>
        <v>117.75555555555555</v>
      </c>
      <c r="H128" s="24">
        <f t="shared" si="47"/>
        <v>108.6</v>
      </c>
      <c r="I128" s="24">
        <f t="shared" si="47"/>
        <v>108.80000000000001</v>
      </c>
      <c r="J128" s="24">
        <f t="shared" si="47"/>
        <v>109.78888888888889</v>
      </c>
      <c r="K128" s="24">
        <f t="shared" si="47"/>
        <v>109.32222222222222</v>
      </c>
      <c r="L128" s="24">
        <f t="shared" si="47"/>
        <v>102.52222222222221</v>
      </c>
      <c r="M128" s="24">
        <f t="shared" si="47"/>
        <v>100.6125</v>
      </c>
      <c r="N128" s="24">
        <f t="shared" si="47"/>
        <v>101.45555555555556</v>
      </c>
      <c r="O128" s="24">
        <f t="shared" si="47"/>
        <v>102.12222222222222</v>
      </c>
      <c r="P128" s="34"/>
      <c r="Q128" s="53"/>
      <c r="W128" s="44"/>
      <c r="X128" s="44"/>
      <c r="Y128" s="44"/>
      <c r="Z128" s="44"/>
      <c r="AA128" s="51"/>
      <c r="AE128" s="51"/>
      <c r="AF128" s="51"/>
      <c r="AG128" s="51"/>
      <c r="AH128" s="51"/>
      <c r="AI128" s="51"/>
      <c r="AM128" s="53" t="s">
        <v>15</v>
      </c>
      <c r="AN128" s="53">
        <v>114.91666666666667</v>
      </c>
      <c r="AO128" s="53" t="s">
        <v>101</v>
      </c>
      <c r="AP128" s="53">
        <f>AN128+AN118</f>
        <v>129.2060803623269</v>
      </c>
    </row>
    <row r="129" spans="1:53" ht="15.5" x14ac:dyDescent="0.3">
      <c r="A129" s="5"/>
      <c r="B129" s="5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51"/>
      <c r="W129" s="44"/>
      <c r="X129" s="44"/>
      <c r="Y129" s="44"/>
      <c r="Z129" s="44"/>
      <c r="AA129" s="51"/>
      <c r="AE129" s="51"/>
      <c r="AF129" s="51"/>
      <c r="AG129" s="51"/>
      <c r="AH129" s="51"/>
      <c r="AI129" s="51"/>
      <c r="AM129" s="53" t="s">
        <v>16</v>
      </c>
      <c r="AN129" s="53">
        <v>118</v>
      </c>
      <c r="AO129" s="53" t="s">
        <v>102</v>
      </c>
      <c r="AP129" s="53">
        <f>AN129+AN118</f>
        <v>132.28941369566022</v>
      </c>
    </row>
    <row r="130" spans="1:53" ht="14.5" customHeight="1" x14ac:dyDescent="0.3"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51"/>
      <c r="W130" s="44"/>
      <c r="X130" s="44"/>
      <c r="Y130" s="44"/>
      <c r="Z130" s="44"/>
      <c r="AA130" s="51"/>
      <c r="AE130" s="51"/>
      <c r="AF130" s="51"/>
      <c r="AG130" s="51"/>
      <c r="AH130" s="51"/>
      <c r="AI130" s="51"/>
      <c r="AM130" s="51"/>
      <c r="AN130" s="51"/>
      <c r="AO130" s="51"/>
      <c r="AP130" s="51"/>
      <c r="AS130" s="6" t="s">
        <v>97</v>
      </c>
    </row>
    <row r="131" spans="1:53" x14ac:dyDescent="0.3">
      <c r="A131" s="3" t="s">
        <v>18</v>
      </c>
      <c r="B131" s="3" t="s">
        <v>20</v>
      </c>
      <c r="C131" s="65" t="s">
        <v>0</v>
      </c>
      <c r="D131" s="88" t="s">
        <v>1</v>
      </c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90"/>
      <c r="P131" s="37"/>
      <c r="Q131" s="67" t="s">
        <v>32</v>
      </c>
      <c r="V131" s="65" t="s">
        <v>53</v>
      </c>
      <c r="W131" s="81" t="s">
        <v>54</v>
      </c>
      <c r="X131" s="82"/>
      <c r="Y131" s="83"/>
      <c r="Z131" s="84" t="s">
        <v>33</v>
      </c>
      <c r="AA131" s="67" t="s">
        <v>32</v>
      </c>
      <c r="AC131" s="65" t="s">
        <v>61</v>
      </c>
      <c r="AD131" s="65" t="s">
        <v>62</v>
      </c>
      <c r="AE131" s="67" t="s">
        <v>63</v>
      </c>
      <c r="AF131" s="67" t="s">
        <v>64</v>
      </c>
      <c r="AG131" s="67" t="s">
        <v>65</v>
      </c>
      <c r="AH131" s="64" t="s">
        <v>66</v>
      </c>
      <c r="AI131" s="64"/>
      <c r="AJ131" s="65" t="s">
        <v>67</v>
      </c>
      <c r="AK131" s="65" t="s">
        <v>68</v>
      </c>
      <c r="AM131" s="80" t="s">
        <v>80</v>
      </c>
      <c r="AN131" s="80"/>
      <c r="AO131" s="51"/>
      <c r="AP131" s="51"/>
      <c r="AS131" s="65" t="s">
        <v>61</v>
      </c>
      <c r="AT131" s="65" t="s">
        <v>62</v>
      </c>
      <c r="AU131" s="65" t="s">
        <v>63</v>
      </c>
      <c r="AV131" s="65" t="s">
        <v>64</v>
      </c>
      <c r="AW131" s="65" t="s">
        <v>65</v>
      </c>
      <c r="AX131" s="69" t="s">
        <v>66</v>
      </c>
      <c r="AY131" s="69"/>
      <c r="AZ131" s="65" t="s">
        <v>67</v>
      </c>
      <c r="BA131" s="65" t="s">
        <v>68</v>
      </c>
    </row>
    <row r="132" spans="1:53" ht="15.5" customHeight="1" x14ac:dyDescent="0.3">
      <c r="A132" s="65">
        <v>9</v>
      </c>
      <c r="B132" s="74" t="s">
        <v>29</v>
      </c>
      <c r="C132" s="73"/>
      <c r="D132" s="88" t="s">
        <v>2</v>
      </c>
      <c r="E132" s="89"/>
      <c r="F132" s="89"/>
      <c r="G132" s="90"/>
      <c r="H132" s="88" t="s">
        <v>7</v>
      </c>
      <c r="I132" s="89"/>
      <c r="J132" s="89"/>
      <c r="K132" s="90"/>
      <c r="L132" s="88" t="s">
        <v>8</v>
      </c>
      <c r="M132" s="89"/>
      <c r="N132" s="89"/>
      <c r="O132" s="90"/>
      <c r="P132" s="38" t="s">
        <v>33</v>
      </c>
      <c r="Q132" s="77"/>
      <c r="S132" s="6" t="s">
        <v>71</v>
      </c>
      <c r="T132" s="6">
        <v>12</v>
      </c>
      <c r="V132" s="66"/>
      <c r="W132" s="41" t="s">
        <v>55</v>
      </c>
      <c r="X132" s="41" t="s">
        <v>56</v>
      </c>
      <c r="Y132" s="41" t="s">
        <v>57</v>
      </c>
      <c r="Z132" s="85"/>
      <c r="AA132" s="68"/>
      <c r="AC132" s="66"/>
      <c r="AD132" s="66"/>
      <c r="AE132" s="68"/>
      <c r="AF132" s="68"/>
      <c r="AG132" s="68"/>
      <c r="AH132" s="59">
        <v>0.05</v>
      </c>
      <c r="AI132" s="59">
        <v>0.01</v>
      </c>
      <c r="AJ132" s="66"/>
      <c r="AK132" s="66"/>
      <c r="AM132" s="54" t="s">
        <v>74</v>
      </c>
      <c r="AN132" s="54">
        <f>SQRT(AF137/12)</f>
        <v>2.2691945326834033</v>
      </c>
      <c r="AO132" s="56"/>
      <c r="AP132" s="55" t="s">
        <v>90</v>
      </c>
      <c r="AS132" s="66"/>
      <c r="AT132" s="66"/>
      <c r="AU132" s="66"/>
      <c r="AV132" s="66"/>
      <c r="AW132" s="66"/>
      <c r="AX132" s="42">
        <v>0.05</v>
      </c>
      <c r="AY132" s="42">
        <v>0.01</v>
      </c>
      <c r="AZ132" s="66"/>
      <c r="BA132" s="66"/>
    </row>
    <row r="133" spans="1:53" x14ac:dyDescent="0.3">
      <c r="A133" s="73"/>
      <c r="B133" s="75"/>
      <c r="C133" s="66"/>
      <c r="D133" s="39" t="s">
        <v>3</v>
      </c>
      <c r="E133" s="39" t="s">
        <v>4</v>
      </c>
      <c r="F133" s="39" t="s">
        <v>5</v>
      </c>
      <c r="G133" s="39" t="s">
        <v>6</v>
      </c>
      <c r="H133" s="39" t="s">
        <v>3</v>
      </c>
      <c r="I133" s="39" t="s">
        <v>4</v>
      </c>
      <c r="J133" s="39" t="s">
        <v>5</v>
      </c>
      <c r="K133" s="39" t="s">
        <v>6</v>
      </c>
      <c r="L133" s="39" t="s">
        <v>3</v>
      </c>
      <c r="M133" s="39" t="s">
        <v>4</v>
      </c>
      <c r="N133" s="39" t="s">
        <v>5</v>
      </c>
      <c r="O133" s="39" t="s">
        <v>6</v>
      </c>
      <c r="P133" s="40"/>
      <c r="Q133" s="68"/>
      <c r="S133" s="6" t="s">
        <v>44</v>
      </c>
      <c r="T133" s="6">
        <v>3</v>
      </c>
      <c r="V133" s="3" t="s">
        <v>58</v>
      </c>
      <c r="W133" s="35">
        <f>SUM(D134:O134)</f>
        <v>1263</v>
      </c>
      <c r="X133" s="35">
        <f>SUM(D135:O135)</f>
        <v>1420</v>
      </c>
      <c r="Y133" s="35">
        <f>SUM(D136:O136)</f>
        <v>1422</v>
      </c>
      <c r="Z133" s="35">
        <f>SUM(W133:Y133)</f>
        <v>4105</v>
      </c>
      <c r="AA133" s="53">
        <f>AVERAGE(W133:Y133)</f>
        <v>1368.3333333333333</v>
      </c>
      <c r="AC133" s="3" t="s">
        <v>43</v>
      </c>
      <c r="AD133" s="2">
        <f>12-1</f>
        <v>11</v>
      </c>
      <c r="AE133" s="53">
        <f>T137</f>
        <v>3226.7410185185727</v>
      </c>
      <c r="AF133" s="53">
        <f>AE133/AD133</f>
        <v>293.3400925925975</v>
      </c>
      <c r="AG133" s="53">
        <f>AF133/AF137</f>
        <v>4.7473004846093962</v>
      </c>
      <c r="AH133" s="53">
        <f>FINV(AH132,AD133,AD137)</f>
        <v>1.8991710184693407</v>
      </c>
      <c r="AI133" s="53">
        <f>FINV(AI132,AD133,AD137)</f>
        <v>2.4560580535880434</v>
      </c>
      <c r="AJ133" s="30" t="s">
        <v>72</v>
      </c>
      <c r="AK133" s="2"/>
      <c r="AM133" s="53" t="s">
        <v>75</v>
      </c>
      <c r="AN133" s="54">
        <v>4.46</v>
      </c>
      <c r="AO133" s="51"/>
      <c r="AP133" s="51"/>
      <c r="AS133" s="3" t="s">
        <v>43</v>
      </c>
      <c r="AT133" s="2">
        <f>12-1</f>
        <v>11</v>
      </c>
      <c r="AU133" s="6">
        <f>SUMSQ(D143:O143)/(3*3)-AT142</f>
        <v>3226.7410185185727</v>
      </c>
      <c r="AV133" s="53">
        <f>AU133/AT133</f>
        <v>293.3400925925975</v>
      </c>
      <c r="AW133" s="53">
        <f>AV133/AV138</f>
        <v>4.7473004846093962</v>
      </c>
      <c r="AX133" s="53">
        <f>FINV(AX132,AT133,AT138)</f>
        <v>1.8991710184693407</v>
      </c>
      <c r="AY133" s="53">
        <f>FINV(AY132,AT133,AT138)</f>
        <v>2.4560580535880434</v>
      </c>
      <c r="AZ133" s="2" t="str">
        <f>IF(AW133&gt;AY133,"**",IF(AW133&gt;AX133,"*","TN"))</f>
        <v>**</v>
      </c>
      <c r="BA133" s="2" t="str">
        <f>IF(AZ133="TN","Tidak Nyata",IF(AZ133="*","Nyata",IF(AZ133="**","Sangat Nyata",0)))</f>
        <v>Sangat Nyata</v>
      </c>
    </row>
    <row r="134" spans="1:53" ht="15.5" x14ac:dyDescent="0.3">
      <c r="A134" s="73"/>
      <c r="B134" s="75"/>
      <c r="C134" s="2" t="s">
        <v>9</v>
      </c>
      <c r="D134" s="34">
        <v>113</v>
      </c>
      <c r="E134" s="34">
        <v>114</v>
      </c>
      <c r="F134" s="34">
        <v>107</v>
      </c>
      <c r="G134" s="34">
        <v>121</v>
      </c>
      <c r="H134" s="34">
        <v>89</v>
      </c>
      <c r="I134" s="34">
        <v>105</v>
      </c>
      <c r="J134" s="34">
        <v>98</v>
      </c>
      <c r="K134" s="34">
        <v>103</v>
      </c>
      <c r="L134" s="34">
        <v>95</v>
      </c>
      <c r="M134" s="34">
        <v>105</v>
      </c>
      <c r="N134" s="34">
        <v>106</v>
      </c>
      <c r="O134" s="34">
        <v>107</v>
      </c>
      <c r="P134" s="34">
        <f>SUM(D134:O134)</f>
        <v>1263</v>
      </c>
      <c r="Q134" s="53">
        <f t="shared" ref="Q134:Q142" si="48">AVERAGE(D134:O134)</f>
        <v>105.25</v>
      </c>
      <c r="S134" s="6" t="s">
        <v>45</v>
      </c>
      <c r="T134" s="6">
        <v>3</v>
      </c>
      <c r="V134" s="3" t="s">
        <v>59</v>
      </c>
      <c r="W134" s="35">
        <f>SUM(D137:O137)</f>
        <v>1424.8</v>
      </c>
      <c r="X134" s="35">
        <f>SUM(D138:O138)</f>
        <v>1362.3</v>
      </c>
      <c r="Y134" s="35">
        <f>SUM(D139:O139)</f>
        <v>1450.6000000000001</v>
      </c>
      <c r="Z134" s="35">
        <f>SUM(W134:Y134)</f>
        <v>4237.7</v>
      </c>
      <c r="AA134" s="53">
        <f>AVERAGE(W134:Y134)</f>
        <v>1412.5666666666666</v>
      </c>
      <c r="AC134" s="3" t="s">
        <v>45</v>
      </c>
      <c r="AD134" s="2">
        <f>3-1</f>
        <v>2</v>
      </c>
      <c r="AE134" s="53">
        <f>T138</f>
        <v>169.8757407409139</v>
      </c>
      <c r="AF134" s="53">
        <f>AE134/AD134</f>
        <v>84.937870370456949</v>
      </c>
      <c r="AG134" s="53">
        <f>AF134/AF137</f>
        <v>1.3746010291589301</v>
      </c>
      <c r="AH134" s="53">
        <f>FINV(AH132,AD134,AD137)</f>
        <v>3.1000686386371408</v>
      </c>
      <c r="AI134" s="53">
        <f>FINV(AI132,AD134,AD137)</f>
        <v>4.8547979993760721</v>
      </c>
      <c r="AJ134" s="30" t="s">
        <v>95</v>
      </c>
      <c r="AK134" s="2"/>
      <c r="AM134" s="53" t="s">
        <v>76</v>
      </c>
      <c r="AN134" s="54">
        <f>AN133*AN132</f>
        <v>10.120607615767979</v>
      </c>
      <c r="AO134" s="51"/>
      <c r="AP134" s="51"/>
      <c r="AS134" s="3" t="s">
        <v>98</v>
      </c>
      <c r="AT134" s="2">
        <f>3*3-1</f>
        <v>8</v>
      </c>
      <c r="AU134" s="53">
        <f>SUMSQ(P134:P142)/12-AT142</f>
        <v>2763.8029629630037</v>
      </c>
      <c r="AV134" s="53">
        <f t="shared" ref="AV134:AV138" si="49">AU134/AT134</f>
        <v>345.47537037037546</v>
      </c>
      <c r="AW134" s="53">
        <f>AV134/AV138</f>
        <v>5.591037279236482</v>
      </c>
      <c r="AX134" s="53">
        <f>FINV(AX132,AT134,AT138)</f>
        <v>2.0454143150341193</v>
      </c>
      <c r="AY134" s="53">
        <f>FINV(AY132,AT134,AT138)</f>
        <v>2.720181875728696</v>
      </c>
      <c r="AZ134" s="2" t="str">
        <f>IF(AW134&gt;AY134,"**",IF(AW134&gt;AX134,"*","TN"))</f>
        <v>**</v>
      </c>
      <c r="BA134" s="2" t="str">
        <f t="shared" ref="BA134:BA137" si="50">IF(AZ134="TN","Tidak Nyata",IF(AZ134="*","Nyata",IF(AZ134="**","Sangat Nyata",0)))</f>
        <v>Sangat Nyata</v>
      </c>
    </row>
    <row r="135" spans="1:53" ht="15.5" x14ac:dyDescent="0.3">
      <c r="A135" s="73"/>
      <c r="B135" s="75"/>
      <c r="C135" s="2" t="s">
        <v>10</v>
      </c>
      <c r="D135" s="35">
        <v>118</v>
      </c>
      <c r="E135" s="35">
        <v>116</v>
      </c>
      <c r="F135" s="35">
        <v>115</v>
      </c>
      <c r="G135" s="35">
        <v>117</v>
      </c>
      <c r="H135" s="35">
        <v>119</v>
      </c>
      <c r="I135" s="35">
        <v>120</v>
      </c>
      <c r="J135" s="35">
        <v>118</v>
      </c>
      <c r="K135" s="35">
        <v>119</v>
      </c>
      <c r="L135" s="35">
        <v>121</v>
      </c>
      <c r="M135" s="35">
        <v>119</v>
      </c>
      <c r="N135" s="35">
        <v>118</v>
      </c>
      <c r="O135" s="35">
        <v>120</v>
      </c>
      <c r="P135" s="34">
        <f t="shared" ref="P135:P142" si="51">SUM(D135:O135)</f>
        <v>1420</v>
      </c>
      <c r="Q135" s="53">
        <f t="shared" si="48"/>
        <v>118.33333333333333</v>
      </c>
      <c r="S135" s="6" t="s">
        <v>46</v>
      </c>
      <c r="T135" s="51">
        <f>(P143^2)/(12*3*3)</f>
        <v>1479512.0045370371</v>
      </c>
      <c r="V135" s="3" t="s">
        <v>60</v>
      </c>
      <c r="W135" s="35">
        <f>SUM(D140:O140)</f>
        <v>1462</v>
      </c>
      <c r="X135" s="35">
        <f>SUM(D141:O141)</f>
        <v>1466</v>
      </c>
      <c r="Y135" s="35">
        <f>SUM(D142:O142)</f>
        <v>1370</v>
      </c>
      <c r="Z135" s="35">
        <f>SUM(W135:Y135)</f>
        <v>4298</v>
      </c>
      <c r="AA135" s="53">
        <f>AVERAGE(W135:Y135)</f>
        <v>1432.6666666666667</v>
      </c>
      <c r="AC135" s="3" t="s">
        <v>44</v>
      </c>
      <c r="AD135" s="2">
        <f>3-1</f>
        <v>2</v>
      </c>
      <c r="AE135" s="53">
        <f>T139</f>
        <v>541.61462962953374</v>
      </c>
      <c r="AF135" s="53">
        <f>AE135/AD135</f>
        <v>270.80731481476687</v>
      </c>
      <c r="AG135" s="53">
        <f>AF135/AF137</f>
        <v>4.3826388868070962</v>
      </c>
      <c r="AH135" s="53">
        <f>FINV(AH132,AD135,AD137)</f>
        <v>3.1000686386371408</v>
      </c>
      <c r="AI135" s="53">
        <f>FINV(AI132,AD135,AD137)</f>
        <v>4.8547979993760721</v>
      </c>
      <c r="AJ135" s="30" t="s">
        <v>72</v>
      </c>
      <c r="AK135" s="2"/>
      <c r="AM135" s="51"/>
      <c r="AN135" s="51"/>
      <c r="AO135" s="51"/>
      <c r="AP135" s="51"/>
      <c r="AS135" s="3" t="s">
        <v>45</v>
      </c>
      <c r="AT135" s="2">
        <f>3-1</f>
        <v>2</v>
      </c>
      <c r="AU135" s="53">
        <f>SUMSQ(W136:Y136)/(3*12)-AT142</f>
        <v>169.8757407409139</v>
      </c>
      <c r="AV135" s="53">
        <f t="shared" si="49"/>
        <v>84.937870370456949</v>
      </c>
      <c r="AW135" s="53">
        <f>AV135/AV138</f>
        <v>1.3746010291589301</v>
      </c>
      <c r="AX135" s="53">
        <f>FINV(AX132,AT135,AT138)</f>
        <v>3.1000686386371408</v>
      </c>
      <c r="AY135" s="53">
        <f>FINV(AY132,AT135,AT138)</f>
        <v>4.8547979993760721</v>
      </c>
      <c r="AZ135" s="2" t="str">
        <f>IF(AW135&gt;AY135,"**",IF(AW135&gt;AX135,"*","TN"))</f>
        <v>TN</v>
      </c>
      <c r="BA135" s="2" t="str">
        <f t="shared" si="50"/>
        <v>Tidak Nyata</v>
      </c>
    </row>
    <row r="136" spans="1:53" ht="15.5" x14ac:dyDescent="0.3">
      <c r="A136" s="73"/>
      <c r="B136" s="75"/>
      <c r="C136" s="2" t="s">
        <v>11</v>
      </c>
      <c r="D136" s="35">
        <v>120</v>
      </c>
      <c r="E136" s="35">
        <v>118</v>
      </c>
      <c r="F136" s="35">
        <v>119</v>
      </c>
      <c r="G136" s="35">
        <v>117</v>
      </c>
      <c r="H136" s="35">
        <v>118</v>
      </c>
      <c r="I136" s="35">
        <v>119</v>
      </c>
      <c r="J136" s="35">
        <v>121</v>
      </c>
      <c r="K136" s="35">
        <v>120</v>
      </c>
      <c r="L136" s="35">
        <v>119</v>
      </c>
      <c r="M136" s="35">
        <v>118</v>
      </c>
      <c r="N136" s="35">
        <v>117</v>
      </c>
      <c r="O136" s="35">
        <v>116</v>
      </c>
      <c r="P136" s="34">
        <f t="shared" si="51"/>
        <v>1422</v>
      </c>
      <c r="Q136" s="53">
        <f t="shared" si="48"/>
        <v>118.5</v>
      </c>
      <c r="S136" s="6" t="s">
        <v>47</v>
      </c>
      <c r="T136" s="51">
        <f>SUMSQ(D134:O142)-T135</f>
        <v>11428.145462962799</v>
      </c>
      <c r="V136" s="3" t="s">
        <v>33</v>
      </c>
      <c r="W136" s="35">
        <f>SUM(W133:W135)</f>
        <v>4149.8</v>
      </c>
      <c r="X136" s="35">
        <f>SUM(X133:X135)</f>
        <v>4248.3</v>
      </c>
      <c r="Y136" s="35">
        <f>SUM(Y133:Y135)</f>
        <v>4242.6000000000004</v>
      </c>
      <c r="Z136" s="35">
        <f>SUM(W136:Y136)</f>
        <v>12640.7</v>
      </c>
      <c r="AA136" s="53">
        <f>AVERAGE(W136:Y136)</f>
        <v>4213.5666666666666</v>
      </c>
      <c r="AC136" s="3" t="s">
        <v>69</v>
      </c>
      <c r="AD136" s="2">
        <f>(3-1)*(3-1)</f>
        <v>4</v>
      </c>
      <c r="AE136" s="53">
        <f>T140</f>
        <v>2052.312592592556</v>
      </c>
      <c r="AF136" s="53">
        <f>AE136/AD136</f>
        <v>513.07814814813901</v>
      </c>
      <c r="AG136" s="53">
        <f>AF136/AF137</f>
        <v>8.3034546004899514</v>
      </c>
      <c r="AH136" s="53">
        <f>FINV(AH132,AD136,AD137)</f>
        <v>2.4752774088696223</v>
      </c>
      <c r="AI136" s="53">
        <f>FINV(AI132,AD136,AD137)</f>
        <v>3.5400845421240663</v>
      </c>
      <c r="AJ136" s="30" t="s">
        <v>72</v>
      </c>
      <c r="AK136" s="2"/>
      <c r="AM136" s="54" t="s">
        <v>0</v>
      </c>
      <c r="AN136" s="54" t="s">
        <v>32</v>
      </c>
      <c r="AO136" s="54" t="s">
        <v>67</v>
      </c>
      <c r="AP136" s="54" t="s">
        <v>77</v>
      </c>
      <c r="AS136" s="3" t="s">
        <v>44</v>
      </c>
      <c r="AT136" s="2">
        <f>3-1</f>
        <v>2</v>
      </c>
      <c r="AU136" s="53">
        <f>SUMSQ(Z133:Z135)/(3*12)-AT142</f>
        <v>541.61462962953374</v>
      </c>
      <c r="AV136" s="53">
        <f t="shared" si="49"/>
        <v>270.80731481476687</v>
      </c>
      <c r="AW136" s="53">
        <f>AV136/AV138</f>
        <v>4.3826388868070962</v>
      </c>
      <c r="AX136" s="53">
        <f>FINV(AX132,AT136,AT138)</f>
        <v>3.1000686386371408</v>
      </c>
      <c r="AY136" s="53">
        <f>FINV(AY132,AT136,AT138)</f>
        <v>4.8547979993760721</v>
      </c>
      <c r="AZ136" s="2" t="str">
        <f>IF(AW136&gt;AY136,"**",IF(AW136&gt;AX136,"*","TN"))</f>
        <v>*</v>
      </c>
      <c r="BA136" s="2" t="str">
        <f t="shared" si="50"/>
        <v>Nyata</v>
      </c>
    </row>
    <row r="137" spans="1:53" ht="15.5" x14ac:dyDescent="0.3">
      <c r="A137" s="73"/>
      <c r="B137" s="75"/>
      <c r="C137" s="2" t="s">
        <v>12</v>
      </c>
      <c r="D137" s="34">
        <v>135</v>
      </c>
      <c r="E137" s="34">
        <v>125.5</v>
      </c>
      <c r="F137" s="34">
        <v>137.30000000000001</v>
      </c>
      <c r="G137" s="34">
        <v>135.5</v>
      </c>
      <c r="H137" s="34">
        <v>108</v>
      </c>
      <c r="I137" s="34">
        <v>114</v>
      </c>
      <c r="J137" s="34">
        <v>112</v>
      </c>
      <c r="K137" s="34">
        <v>109</v>
      </c>
      <c r="L137" s="34">
        <v>114</v>
      </c>
      <c r="M137" s="34">
        <v>116.5</v>
      </c>
      <c r="N137" s="34">
        <v>107</v>
      </c>
      <c r="O137" s="34">
        <v>111</v>
      </c>
      <c r="P137" s="34">
        <f t="shared" si="51"/>
        <v>1424.8</v>
      </c>
      <c r="Q137" s="53">
        <f t="shared" si="48"/>
        <v>118.73333333333333</v>
      </c>
      <c r="S137" s="6" t="s">
        <v>48</v>
      </c>
      <c r="T137" s="51">
        <f>(SUMSQ(D143:O143)/(3*3))-T135</f>
        <v>3226.7410185185727</v>
      </c>
      <c r="V137" s="3" t="s">
        <v>32</v>
      </c>
      <c r="W137" s="53">
        <f>AVERAGE(W133:W135)</f>
        <v>1383.2666666666667</v>
      </c>
      <c r="X137" s="53">
        <f>AVERAGE(X133:X135)</f>
        <v>1416.1000000000001</v>
      </c>
      <c r="Y137" s="53">
        <f>AVERAGE(Y133:Y135)</f>
        <v>1414.2</v>
      </c>
      <c r="Z137" s="33"/>
      <c r="AA137" s="53"/>
      <c r="AC137" s="3" t="s">
        <v>70</v>
      </c>
      <c r="AD137" s="2">
        <f>((3*3)-1)*(12-1)</f>
        <v>88</v>
      </c>
      <c r="AE137" s="53">
        <f>T141</f>
        <v>5437.6014814812224</v>
      </c>
      <c r="AF137" s="53">
        <f>AE137/AD137</f>
        <v>61.790925925922984</v>
      </c>
      <c r="AG137" s="53"/>
      <c r="AH137" s="53"/>
      <c r="AI137" s="53"/>
      <c r="AJ137" s="2"/>
      <c r="AK137" s="2"/>
      <c r="AM137" s="53" t="s">
        <v>9</v>
      </c>
      <c r="AN137" s="53">
        <v>105.25</v>
      </c>
      <c r="AO137" s="53" t="s">
        <v>93</v>
      </c>
      <c r="AP137" s="53">
        <f>AN137+AN134</f>
        <v>115.37060761576798</v>
      </c>
      <c r="AS137" s="3" t="s">
        <v>69</v>
      </c>
      <c r="AT137" s="2">
        <f>AT135*AT136</f>
        <v>4</v>
      </c>
      <c r="AU137" s="53">
        <f>AU134-AU135-AU136</f>
        <v>2052.312592592556</v>
      </c>
      <c r="AV137" s="53">
        <f t="shared" si="49"/>
        <v>513.07814814813901</v>
      </c>
      <c r="AW137" s="53">
        <f>AV137/AV138</f>
        <v>8.3034546004899514</v>
      </c>
      <c r="AX137" s="53">
        <f>FINV(AX132,AT137,AT138)</f>
        <v>2.4752774088696223</v>
      </c>
      <c r="AY137" s="53">
        <f>FINV(AY132,AT137,AT138)</f>
        <v>3.5400845421240663</v>
      </c>
      <c r="AZ137" s="2" t="str">
        <f>IF(AW137&gt;AY137,"**",IF(AW137&gt;AX137,"*","TN"))</f>
        <v>**</v>
      </c>
      <c r="BA137" s="2" t="str">
        <f t="shared" si="50"/>
        <v>Sangat Nyata</v>
      </c>
    </row>
    <row r="138" spans="1:53" ht="15.5" x14ac:dyDescent="0.3">
      <c r="A138" s="73"/>
      <c r="B138" s="75"/>
      <c r="C138" s="2" t="s">
        <v>13</v>
      </c>
      <c r="D138" s="34">
        <v>126.1</v>
      </c>
      <c r="E138" s="34">
        <v>125.3</v>
      </c>
      <c r="F138" s="34">
        <v>128.80000000000001</v>
      </c>
      <c r="G138" s="34">
        <v>116.7</v>
      </c>
      <c r="H138" s="34">
        <v>112</v>
      </c>
      <c r="I138" s="34">
        <v>109</v>
      </c>
      <c r="J138" s="34">
        <v>111</v>
      </c>
      <c r="K138" s="34">
        <v>109</v>
      </c>
      <c r="L138" s="34">
        <v>114</v>
      </c>
      <c r="M138" s="34">
        <v>110.5</v>
      </c>
      <c r="N138" s="34">
        <v>92.3</v>
      </c>
      <c r="O138" s="34">
        <v>107.6</v>
      </c>
      <c r="P138" s="34">
        <f t="shared" si="51"/>
        <v>1362.3</v>
      </c>
      <c r="Q138" s="53">
        <f t="shared" si="48"/>
        <v>113.52499999999999</v>
      </c>
      <c r="S138" s="6" t="s">
        <v>50</v>
      </c>
      <c r="T138" s="51">
        <f>(SUMSQ(W136:Y136)/(12*3))-T135</f>
        <v>169.8757407409139</v>
      </c>
      <c r="AC138" s="3" t="s">
        <v>33</v>
      </c>
      <c r="AD138" s="2">
        <f>(3*3*12)-1</f>
        <v>107</v>
      </c>
      <c r="AE138" s="53">
        <f>T136</f>
        <v>11428.145462962799</v>
      </c>
      <c r="AF138" s="53"/>
      <c r="AG138" s="53"/>
      <c r="AH138" s="53"/>
      <c r="AI138" s="53"/>
      <c r="AJ138" s="2"/>
      <c r="AK138" s="2"/>
      <c r="AM138" s="53" t="s">
        <v>13</v>
      </c>
      <c r="AN138" s="53">
        <v>113.52499999999999</v>
      </c>
      <c r="AO138" s="53" t="s">
        <v>99</v>
      </c>
      <c r="AP138" s="53">
        <f>AN138+AN134</f>
        <v>123.64560761576797</v>
      </c>
      <c r="AS138" s="3" t="s">
        <v>70</v>
      </c>
      <c r="AT138" s="2">
        <f>AT139-AT133-AT134</f>
        <v>88</v>
      </c>
      <c r="AU138" s="53">
        <f>AU139-AU133-AU134</f>
        <v>5437.6014814812224</v>
      </c>
      <c r="AV138" s="53">
        <f t="shared" si="49"/>
        <v>61.790925925922984</v>
      </c>
      <c r="AW138" s="53"/>
      <c r="AX138" s="53"/>
      <c r="AY138" s="53"/>
      <c r="AZ138" s="2"/>
      <c r="BA138" s="2"/>
    </row>
    <row r="139" spans="1:53" ht="15.5" x14ac:dyDescent="0.3">
      <c r="A139" s="73"/>
      <c r="B139" s="75"/>
      <c r="C139" s="2" t="s">
        <v>14</v>
      </c>
      <c r="D139" s="34">
        <v>107</v>
      </c>
      <c r="E139" s="34">
        <v>128.69999999999999</v>
      </c>
      <c r="F139" s="34">
        <v>127.8</v>
      </c>
      <c r="G139" s="34">
        <v>132</v>
      </c>
      <c r="H139" s="34">
        <v>119</v>
      </c>
      <c r="I139" s="34">
        <v>117</v>
      </c>
      <c r="J139" s="34">
        <v>162</v>
      </c>
      <c r="K139" s="34">
        <v>118</v>
      </c>
      <c r="L139" s="34">
        <v>114</v>
      </c>
      <c r="M139" s="34">
        <v>107</v>
      </c>
      <c r="N139" s="34">
        <v>109.7</v>
      </c>
      <c r="O139" s="34">
        <v>108.4</v>
      </c>
      <c r="P139" s="34">
        <f t="shared" si="51"/>
        <v>1450.6000000000001</v>
      </c>
      <c r="Q139" s="53">
        <f t="shared" si="48"/>
        <v>120.88333333333334</v>
      </c>
      <c r="S139" s="6" t="s">
        <v>49</v>
      </c>
      <c r="T139" s="51">
        <f>(SUMSQ(Z133:Z135)/(12*3))-T135</f>
        <v>541.61462962953374</v>
      </c>
      <c r="AM139" s="53" t="s">
        <v>17</v>
      </c>
      <c r="AN139" s="53">
        <v>114.16666666666667</v>
      </c>
      <c r="AO139" s="53" t="s">
        <v>99</v>
      </c>
      <c r="AP139" s="53">
        <f>AN139+AN134</f>
        <v>124.28727428243465</v>
      </c>
      <c r="AS139" s="3" t="s">
        <v>33</v>
      </c>
      <c r="AT139" s="2">
        <f>(3*3*12)-1</f>
        <v>107</v>
      </c>
      <c r="AU139" s="53">
        <f>SUMSQ(D134:O142)-AT142</f>
        <v>11428.145462962799</v>
      </c>
      <c r="AV139" s="53"/>
      <c r="AW139" s="53"/>
      <c r="AX139" s="53"/>
      <c r="AY139" s="53"/>
      <c r="AZ139" s="2"/>
      <c r="BA139" s="2"/>
    </row>
    <row r="140" spans="1:53" ht="15.5" customHeight="1" x14ac:dyDescent="0.3">
      <c r="A140" s="73"/>
      <c r="B140" s="75"/>
      <c r="C140" s="2" t="s">
        <v>15</v>
      </c>
      <c r="D140" s="34">
        <v>134</v>
      </c>
      <c r="E140" s="34">
        <v>125</v>
      </c>
      <c r="F140" s="34">
        <v>135</v>
      </c>
      <c r="G140" s="34">
        <v>140</v>
      </c>
      <c r="H140" s="34">
        <v>121</v>
      </c>
      <c r="I140" s="34">
        <v>125</v>
      </c>
      <c r="J140" s="34">
        <v>120</v>
      </c>
      <c r="K140" s="34">
        <v>122</v>
      </c>
      <c r="L140" s="34">
        <v>113</v>
      </c>
      <c r="M140" s="34">
        <v>100</v>
      </c>
      <c r="N140" s="34">
        <v>115</v>
      </c>
      <c r="O140" s="34">
        <v>112</v>
      </c>
      <c r="P140" s="34">
        <f t="shared" si="51"/>
        <v>1462</v>
      </c>
      <c r="Q140" s="53">
        <f t="shared" si="48"/>
        <v>121.83333333333333</v>
      </c>
      <c r="S140" s="6" t="s">
        <v>51</v>
      </c>
      <c r="T140" s="51">
        <f>(SUMSQ(W133:Y135)/(12))-T135-T138-T139</f>
        <v>2052.312592592556</v>
      </c>
      <c r="AM140" s="53" t="s">
        <v>10</v>
      </c>
      <c r="AN140" s="53">
        <v>118.33333333333333</v>
      </c>
      <c r="AO140" s="53" t="s">
        <v>94</v>
      </c>
      <c r="AP140" s="53">
        <f>AN140+AN134</f>
        <v>128.45394094910131</v>
      </c>
    </row>
    <row r="141" spans="1:53" ht="15.5" x14ac:dyDescent="0.3">
      <c r="A141" s="73"/>
      <c r="B141" s="75"/>
      <c r="C141" s="2" t="s">
        <v>16</v>
      </c>
      <c r="D141" s="34">
        <v>128</v>
      </c>
      <c r="E141" s="34">
        <v>132</v>
      </c>
      <c r="F141" s="34">
        <v>128</v>
      </c>
      <c r="G141" s="34">
        <v>132</v>
      </c>
      <c r="H141" s="34">
        <v>120</v>
      </c>
      <c r="I141" s="34">
        <v>121</v>
      </c>
      <c r="J141" s="34">
        <v>125</v>
      </c>
      <c r="K141" s="34">
        <v>125</v>
      </c>
      <c r="L141" s="34">
        <v>108</v>
      </c>
      <c r="M141" s="34">
        <v>112</v>
      </c>
      <c r="N141" s="34">
        <v>117</v>
      </c>
      <c r="O141" s="34">
        <v>118</v>
      </c>
      <c r="P141" s="34">
        <f t="shared" si="51"/>
        <v>1466</v>
      </c>
      <c r="Q141" s="53">
        <f t="shared" si="48"/>
        <v>122.16666666666667</v>
      </c>
      <c r="S141" s="6" t="s">
        <v>52</v>
      </c>
      <c r="T141" s="51">
        <f>T136-T137-T138-T139-T140</f>
        <v>5437.6014814812224</v>
      </c>
      <c r="AM141" s="53" t="s">
        <v>11</v>
      </c>
      <c r="AN141" s="53">
        <v>118.5</v>
      </c>
      <c r="AO141" s="53" t="s">
        <v>94</v>
      </c>
      <c r="AP141" s="53">
        <f>AN141+AN134</f>
        <v>128.62060761576797</v>
      </c>
    </row>
    <row r="142" spans="1:53" ht="15.5" x14ac:dyDescent="0.3">
      <c r="A142" s="73"/>
      <c r="B142" s="75"/>
      <c r="C142" s="2" t="s">
        <v>17</v>
      </c>
      <c r="D142" s="34">
        <v>108</v>
      </c>
      <c r="E142" s="34">
        <v>113</v>
      </c>
      <c r="F142" s="34">
        <v>120</v>
      </c>
      <c r="G142" s="34">
        <v>127</v>
      </c>
      <c r="H142" s="34">
        <v>120</v>
      </c>
      <c r="I142" s="34">
        <v>115</v>
      </c>
      <c r="J142" s="34">
        <v>122</v>
      </c>
      <c r="K142" s="34">
        <v>119</v>
      </c>
      <c r="L142" s="34">
        <v>107</v>
      </c>
      <c r="M142" s="34">
        <v>108</v>
      </c>
      <c r="N142" s="34">
        <v>105</v>
      </c>
      <c r="O142" s="34">
        <v>106</v>
      </c>
      <c r="P142" s="34">
        <f t="shared" si="51"/>
        <v>1370</v>
      </c>
      <c r="Q142" s="53">
        <f t="shared" si="48"/>
        <v>114.16666666666667</v>
      </c>
      <c r="AM142" s="53" t="s">
        <v>12</v>
      </c>
      <c r="AN142" s="53">
        <v>118.73333333333333</v>
      </c>
      <c r="AO142" s="53" t="s">
        <v>94</v>
      </c>
      <c r="AP142" s="53">
        <f>AN142+AN134</f>
        <v>128.85394094910131</v>
      </c>
      <c r="AS142" s="2" t="s">
        <v>46</v>
      </c>
      <c r="AT142" s="53">
        <f>P143^2/(3*3*12)</f>
        <v>1479512.0045370371</v>
      </c>
    </row>
    <row r="143" spans="1:53" ht="15.5" x14ac:dyDescent="0.3">
      <c r="A143" s="73"/>
      <c r="B143" s="75"/>
      <c r="C143" s="2" t="s">
        <v>33</v>
      </c>
      <c r="D143" s="35">
        <f>SUM(D134:D142)</f>
        <v>1089.0999999999999</v>
      </c>
      <c r="E143" s="35">
        <f t="shared" ref="E143:O143" si="52">SUM(E134:E142)</f>
        <v>1097.5</v>
      </c>
      <c r="F143" s="35">
        <f t="shared" si="52"/>
        <v>1117.9000000000001</v>
      </c>
      <c r="G143" s="35">
        <f t="shared" si="52"/>
        <v>1138.2</v>
      </c>
      <c r="H143" s="35">
        <f t="shared" si="52"/>
        <v>1026</v>
      </c>
      <c r="I143" s="35">
        <f t="shared" si="52"/>
        <v>1045</v>
      </c>
      <c r="J143" s="35">
        <f t="shared" si="52"/>
        <v>1089</v>
      </c>
      <c r="K143" s="35">
        <f t="shared" si="52"/>
        <v>1044</v>
      </c>
      <c r="L143" s="35">
        <f t="shared" si="52"/>
        <v>1005</v>
      </c>
      <c r="M143" s="35">
        <f t="shared" si="52"/>
        <v>996</v>
      </c>
      <c r="N143" s="35">
        <f t="shared" si="52"/>
        <v>987</v>
      </c>
      <c r="O143" s="35">
        <f t="shared" si="52"/>
        <v>1006</v>
      </c>
      <c r="P143" s="34">
        <f>SUM(D143:O143)</f>
        <v>12640.7</v>
      </c>
      <c r="Q143" s="33"/>
      <c r="AM143" s="53" t="s">
        <v>14</v>
      </c>
      <c r="AN143" s="53">
        <v>120.88333333333334</v>
      </c>
      <c r="AO143" s="53" t="s">
        <v>94</v>
      </c>
      <c r="AP143" s="53">
        <f>AN143+AN134</f>
        <v>131.00394094910132</v>
      </c>
    </row>
    <row r="144" spans="1:53" x14ac:dyDescent="0.3">
      <c r="A144" s="66"/>
      <c r="B144" s="76"/>
      <c r="C144" s="2" t="s">
        <v>32</v>
      </c>
      <c r="D144" s="53">
        <f>AVERAGE(D134:D142)</f>
        <v>121.01111111111111</v>
      </c>
      <c r="E144" s="53">
        <f t="shared" ref="E144:O144" si="53">AVERAGE(E134:E142)</f>
        <v>121.94444444444444</v>
      </c>
      <c r="F144" s="53">
        <f t="shared" si="53"/>
        <v>124.21111111111112</v>
      </c>
      <c r="G144" s="53">
        <f t="shared" si="53"/>
        <v>126.46666666666667</v>
      </c>
      <c r="H144" s="53">
        <f t="shared" si="53"/>
        <v>114</v>
      </c>
      <c r="I144" s="53">
        <f t="shared" si="53"/>
        <v>116.11111111111111</v>
      </c>
      <c r="J144" s="53">
        <f t="shared" si="53"/>
        <v>121</v>
      </c>
      <c r="K144" s="53">
        <f t="shared" si="53"/>
        <v>116</v>
      </c>
      <c r="L144" s="53">
        <f t="shared" si="53"/>
        <v>111.66666666666667</v>
      </c>
      <c r="M144" s="53">
        <f t="shared" si="53"/>
        <v>110.66666666666667</v>
      </c>
      <c r="N144" s="53">
        <f t="shared" si="53"/>
        <v>109.66666666666667</v>
      </c>
      <c r="O144" s="53">
        <f t="shared" si="53"/>
        <v>111.77777777777777</v>
      </c>
      <c r="P144" s="35"/>
      <c r="Q144" s="33"/>
      <c r="AM144" s="53" t="s">
        <v>15</v>
      </c>
      <c r="AN144" s="53">
        <v>121.83333333333333</v>
      </c>
      <c r="AO144" s="53" t="s">
        <v>94</v>
      </c>
      <c r="AP144" s="53">
        <f>AN144+AN134</f>
        <v>131.95394094910131</v>
      </c>
    </row>
    <row r="145" spans="39:42" x14ac:dyDescent="0.3">
      <c r="AM145" s="53" t="s">
        <v>16</v>
      </c>
      <c r="AN145" s="53">
        <v>122.16666666666667</v>
      </c>
      <c r="AO145" s="53" t="s">
        <v>94</v>
      </c>
      <c r="AP145" s="53">
        <f>AN145+AN134</f>
        <v>132.28727428243465</v>
      </c>
    </row>
  </sheetData>
  <sortState xmlns:xlrd2="http://schemas.microsoft.com/office/spreadsheetml/2017/richdata2" ref="AM137:AP145">
    <sortCondition ref="AN137:AN145"/>
  </sortState>
  <mergeCells count="260">
    <mergeCell ref="AS131:AS132"/>
    <mergeCell ref="AT131:AT132"/>
    <mergeCell ref="AU131:AU132"/>
    <mergeCell ref="AV131:AV132"/>
    <mergeCell ref="AW131:AW132"/>
    <mergeCell ref="AX131:AY131"/>
    <mergeCell ref="AZ131:AZ132"/>
    <mergeCell ref="BA131:BA132"/>
    <mergeCell ref="AS99:AS100"/>
    <mergeCell ref="AT99:AT100"/>
    <mergeCell ref="AU99:AU100"/>
    <mergeCell ref="AV99:AV100"/>
    <mergeCell ref="AW99:AW100"/>
    <mergeCell ref="AX99:AY99"/>
    <mergeCell ref="AZ99:AZ100"/>
    <mergeCell ref="BA99:BA100"/>
    <mergeCell ref="AS115:AS116"/>
    <mergeCell ref="AT115:AT116"/>
    <mergeCell ref="AU115:AU116"/>
    <mergeCell ref="AV115:AV116"/>
    <mergeCell ref="AW115:AW116"/>
    <mergeCell ref="AX115:AY115"/>
    <mergeCell ref="AZ115:AZ116"/>
    <mergeCell ref="BA115:BA116"/>
    <mergeCell ref="AS67:AS68"/>
    <mergeCell ref="AT67:AT68"/>
    <mergeCell ref="AU67:AU68"/>
    <mergeCell ref="AV67:AV68"/>
    <mergeCell ref="AW67:AW68"/>
    <mergeCell ref="AX67:AY67"/>
    <mergeCell ref="AZ67:AZ68"/>
    <mergeCell ref="BA67:BA68"/>
    <mergeCell ref="AS83:AS84"/>
    <mergeCell ref="AT83:AT84"/>
    <mergeCell ref="AU83:AU84"/>
    <mergeCell ref="AV83:AV84"/>
    <mergeCell ref="AW83:AW84"/>
    <mergeCell ref="AX83:AY83"/>
    <mergeCell ref="AZ83:AZ84"/>
    <mergeCell ref="BA83:BA84"/>
    <mergeCell ref="AS35:AS36"/>
    <mergeCell ref="AT35:AT36"/>
    <mergeCell ref="AU35:AU36"/>
    <mergeCell ref="AV35:AV36"/>
    <mergeCell ref="AW35:AW36"/>
    <mergeCell ref="AX35:AY35"/>
    <mergeCell ref="AZ35:AZ36"/>
    <mergeCell ref="BA35:BA36"/>
    <mergeCell ref="AS51:AS52"/>
    <mergeCell ref="AT51:AT52"/>
    <mergeCell ref="AU51:AU52"/>
    <mergeCell ref="AV51:AV52"/>
    <mergeCell ref="AW51:AW52"/>
    <mergeCell ref="AX51:AY51"/>
    <mergeCell ref="AZ51:AZ52"/>
    <mergeCell ref="BA51:BA52"/>
    <mergeCell ref="AS3:AS4"/>
    <mergeCell ref="AT3:AT4"/>
    <mergeCell ref="AU3:AU4"/>
    <mergeCell ref="AV3:AV4"/>
    <mergeCell ref="AW3:AW4"/>
    <mergeCell ref="AX3:AY3"/>
    <mergeCell ref="AZ3:AZ4"/>
    <mergeCell ref="BA3:BA4"/>
    <mergeCell ref="AS19:AS20"/>
    <mergeCell ref="AT19:AT20"/>
    <mergeCell ref="AU19:AU20"/>
    <mergeCell ref="AV19:AV20"/>
    <mergeCell ref="AW19:AW20"/>
    <mergeCell ref="AX19:AY19"/>
    <mergeCell ref="AZ19:AZ20"/>
    <mergeCell ref="BA19:BA20"/>
    <mergeCell ref="AM3:AN3"/>
    <mergeCell ref="AM19:AN19"/>
    <mergeCell ref="AM35:AN35"/>
    <mergeCell ref="AM51:AN51"/>
    <mergeCell ref="AM67:AN67"/>
    <mergeCell ref="AM83:AN83"/>
    <mergeCell ref="AM99:AN99"/>
    <mergeCell ref="AM115:AN115"/>
    <mergeCell ref="AM131:AN131"/>
    <mergeCell ref="Q35:Q37"/>
    <mergeCell ref="Q51:Q53"/>
    <mergeCell ref="Q67:Q69"/>
    <mergeCell ref="Q83:Q85"/>
    <mergeCell ref="Q99:Q101"/>
    <mergeCell ref="Q115:Q117"/>
    <mergeCell ref="Q131:Q133"/>
    <mergeCell ref="C131:C133"/>
    <mergeCell ref="D131:O131"/>
    <mergeCell ref="D132:G132"/>
    <mergeCell ref="H132:K132"/>
    <mergeCell ref="L132:O132"/>
    <mergeCell ref="C115:C117"/>
    <mergeCell ref="D115:O115"/>
    <mergeCell ref="D116:G116"/>
    <mergeCell ref="H116:K116"/>
    <mergeCell ref="L116:O116"/>
    <mergeCell ref="C99:C101"/>
    <mergeCell ref="D99:O99"/>
    <mergeCell ref="C67:C69"/>
    <mergeCell ref="D67:O67"/>
    <mergeCell ref="D68:G68"/>
    <mergeCell ref="H68:K68"/>
    <mergeCell ref="L68:O68"/>
    <mergeCell ref="D100:G100"/>
    <mergeCell ref="H100:K100"/>
    <mergeCell ref="L100:O100"/>
    <mergeCell ref="C83:C85"/>
    <mergeCell ref="D83:O83"/>
    <mergeCell ref="D84:G84"/>
    <mergeCell ref="H84:K84"/>
    <mergeCell ref="L84:O84"/>
    <mergeCell ref="C35:C37"/>
    <mergeCell ref="D35:O35"/>
    <mergeCell ref="D36:G36"/>
    <mergeCell ref="H36:K36"/>
    <mergeCell ref="L36:O36"/>
    <mergeCell ref="C51:C53"/>
    <mergeCell ref="D51:O51"/>
    <mergeCell ref="D52:G52"/>
    <mergeCell ref="H52:K52"/>
    <mergeCell ref="L52:O52"/>
    <mergeCell ref="V3:V4"/>
    <mergeCell ref="W3:Y3"/>
    <mergeCell ref="Z3:Z4"/>
    <mergeCell ref="AA3:AA4"/>
    <mergeCell ref="V19:V20"/>
    <mergeCell ref="W19:Y19"/>
    <mergeCell ref="Z19:Z20"/>
    <mergeCell ref="AA19:AA20"/>
    <mergeCell ref="A2:O2"/>
    <mergeCell ref="C3:C5"/>
    <mergeCell ref="D3:O3"/>
    <mergeCell ref="D4:G4"/>
    <mergeCell ref="H4:K4"/>
    <mergeCell ref="L4:O4"/>
    <mergeCell ref="C19:C21"/>
    <mergeCell ref="D19:O19"/>
    <mergeCell ref="D20:G20"/>
    <mergeCell ref="H20:K20"/>
    <mergeCell ref="L20:O20"/>
    <mergeCell ref="Q3:Q5"/>
    <mergeCell ref="Q19:Q21"/>
    <mergeCell ref="AA83:AA84"/>
    <mergeCell ref="V35:V36"/>
    <mergeCell ref="W35:Y35"/>
    <mergeCell ref="Z35:Z36"/>
    <mergeCell ref="AA35:AA36"/>
    <mergeCell ref="V51:V52"/>
    <mergeCell ref="W51:Y51"/>
    <mergeCell ref="Z51:Z52"/>
    <mergeCell ref="AA51:AA52"/>
    <mergeCell ref="V131:V132"/>
    <mergeCell ref="W131:Y131"/>
    <mergeCell ref="Z131:Z132"/>
    <mergeCell ref="AA131:AA132"/>
    <mergeCell ref="AC3:AC4"/>
    <mergeCell ref="AC35:AC36"/>
    <mergeCell ref="AC67:AC68"/>
    <mergeCell ref="AC99:AC100"/>
    <mergeCell ref="AC131:AC132"/>
    <mergeCell ref="V99:V100"/>
    <mergeCell ref="W99:Y99"/>
    <mergeCell ref="Z99:Z100"/>
    <mergeCell ref="AA99:AA100"/>
    <mergeCell ref="V115:V116"/>
    <mergeCell ref="W115:Y115"/>
    <mergeCell ref="Z115:Z116"/>
    <mergeCell ref="AA115:AA116"/>
    <mergeCell ref="V67:V68"/>
    <mergeCell ref="W67:Y67"/>
    <mergeCell ref="Z67:Z68"/>
    <mergeCell ref="AA67:AA68"/>
    <mergeCell ref="V83:V84"/>
    <mergeCell ref="W83:Y83"/>
    <mergeCell ref="Z83:Z84"/>
    <mergeCell ref="AJ3:AJ4"/>
    <mergeCell ref="AK3:AK4"/>
    <mergeCell ref="AC19:AC20"/>
    <mergeCell ref="AD19:AD20"/>
    <mergeCell ref="AE19:AE20"/>
    <mergeCell ref="AF19:AF20"/>
    <mergeCell ref="AG19:AG20"/>
    <mergeCell ref="AH19:AI19"/>
    <mergeCell ref="AJ19:AJ20"/>
    <mergeCell ref="AK19:AK20"/>
    <mergeCell ref="AD3:AD4"/>
    <mergeCell ref="AE3:AE4"/>
    <mergeCell ref="AF3:AF4"/>
    <mergeCell ref="AG3:AG4"/>
    <mergeCell ref="AH3:AI3"/>
    <mergeCell ref="AJ35:AJ36"/>
    <mergeCell ref="AK35:AK36"/>
    <mergeCell ref="AC51:AC52"/>
    <mergeCell ref="AD51:AD52"/>
    <mergeCell ref="AE51:AE52"/>
    <mergeCell ref="AF51:AF52"/>
    <mergeCell ref="AG51:AG52"/>
    <mergeCell ref="AH51:AI51"/>
    <mergeCell ref="AJ51:AJ52"/>
    <mergeCell ref="AK51:AK52"/>
    <mergeCell ref="AD35:AD36"/>
    <mergeCell ref="AE35:AE36"/>
    <mergeCell ref="AF35:AF36"/>
    <mergeCell ref="AG35:AG36"/>
    <mergeCell ref="AH35:AI35"/>
    <mergeCell ref="AJ67:AJ68"/>
    <mergeCell ref="AK67:AK68"/>
    <mergeCell ref="AC83:AC84"/>
    <mergeCell ref="AD83:AD84"/>
    <mergeCell ref="AE83:AE84"/>
    <mergeCell ref="AF83:AF84"/>
    <mergeCell ref="AG83:AG84"/>
    <mergeCell ref="AH83:AI83"/>
    <mergeCell ref="AJ83:AJ84"/>
    <mergeCell ref="AK83:AK84"/>
    <mergeCell ref="AD67:AD68"/>
    <mergeCell ref="AE67:AE68"/>
    <mergeCell ref="AF67:AF68"/>
    <mergeCell ref="AG67:AG68"/>
    <mergeCell ref="AH67:AI67"/>
    <mergeCell ref="AK99:AK100"/>
    <mergeCell ref="AC115:AC116"/>
    <mergeCell ref="AD115:AD116"/>
    <mergeCell ref="AE115:AE116"/>
    <mergeCell ref="AF115:AF116"/>
    <mergeCell ref="AG115:AG116"/>
    <mergeCell ref="AH115:AI115"/>
    <mergeCell ref="AJ115:AJ116"/>
    <mergeCell ref="AK115:AK116"/>
    <mergeCell ref="AD99:AD100"/>
    <mergeCell ref="AE99:AE100"/>
    <mergeCell ref="AF99:AF100"/>
    <mergeCell ref="AG99:AG100"/>
    <mergeCell ref="AH99:AI99"/>
    <mergeCell ref="A132:A144"/>
    <mergeCell ref="B132:B144"/>
    <mergeCell ref="AJ131:AJ132"/>
    <mergeCell ref="AK131:AK132"/>
    <mergeCell ref="A4:A16"/>
    <mergeCell ref="B4:B16"/>
    <mergeCell ref="A20:A32"/>
    <mergeCell ref="B20:B32"/>
    <mergeCell ref="A36:A48"/>
    <mergeCell ref="B36:B48"/>
    <mergeCell ref="A68:A80"/>
    <mergeCell ref="B68:B80"/>
    <mergeCell ref="A84:A96"/>
    <mergeCell ref="B84:B96"/>
    <mergeCell ref="A100:A112"/>
    <mergeCell ref="B100:B112"/>
    <mergeCell ref="B116:B128"/>
    <mergeCell ref="A116:A128"/>
    <mergeCell ref="AD131:AD132"/>
    <mergeCell ref="AE131:AE132"/>
    <mergeCell ref="AF131:AF132"/>
    <mergeCell ref="AG131:AG132"/>
    <mergeCell ref="AH131:AI131"/>
    <mergeCell ref="AJ99:AJ1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84A3-7FFF-4094-AE3A-2273EF504FF2}">
  <dimension ref="A2:BA140"/>
  <sheetViews>
    <sheetView topLeftCell="AJ1" zoomScale="124" zoomScaleNormal="55" workbookViewId="0">
      <selection activeCell="AO114" sqref="AO114"/>
    </sheetView>
  </sheetViews>
  <sheetFormatPr defaultRowHeight="14" x14ac:dyDescent="0.3"/>
  <cols>
    <col min="1" max="1" width="8.7265625" style="6"/>
    <col min="2" max="2" width="19.1796875" style="6" customWidth="1"/>
    <col min="3" max="3" width="10.26953125" style="6" customWidth="1"/>
    <col min="4" max="5" width="8.7265625" style="6"/>
    <col min="6" max="17" width="8.81640625" style="6" bestFit="1" customWidth="1"/>
    <col min="18" max="18" width="8.7265625" style="6"/>
    <col min="19" max="19" width="10.54296875" style="6" customWidth="1"/>
    <col min="20" max="20" width="10.36328125" style="6" customWidth="1"/>
    <col min="21" max="21" width="8.7265625" style="6"/>
    <col min="22" max="22" width="10.26953125" style="6" customWidth="1"/>
    <col min="23" max="23" width="9.36328125" style="6" bestFit="1" customWidth="1"/>
    <col min="24" max="25" width="8.81640625" style="6" bestFit="1" customWidth="1"/>
    <col min="26" max="26" width="9.36328125" style="6" bestFit="1" customWidth="1"/>
    <col min="27" max="27" width="8.81640625" style="6" bestFit="1" customWidth="1"/>
    <col min="28" max="28" width="8.7265625" style="6"/>
    <col min="29" max="29" width="10.08984375" style="6" customWidth="1"/>
    <col min="30" max="31" width="8.81640625" style="6" bestFit="1" customWidth="1"/>
    <col min="32" max="32" width="8.36328125" style="6" customWidth="1"/>
    <col min="33" max="33" width="8.81640625" style="6" bestFit="1" customWidth="1"/>
    <col min="34" max="34" width="8.7265625" style="6"/>
    <col min="35" max="36" width="8.81640625" style="6" bestFit="1" customWidth="1"/>
    <col min="37" max="37" width="23" style="6" customWidth="1"/>
    <col min="38" max="38" width="8.7265625" style="6"/>
    <col min="39" max="39" width="11.08984375" style="6" customWidth="1"/>
    <col min="40" max="40" width="10.26953125" style="6" customWidth="1"/>
    <col min="41" max="41" width="10.453125" style="6" customWidth="1"/>
    <col min="42" max="42" width="11.54296875" style="6" customWidth="1"/>
    <col min="43" max="52" width="8.7265625" style="6"/>
    <col min="53" max="53" width="12.26953125" style="6" bestFit="1" customWidth="1"/>
    <col min="54" max="16384" width="8.7265625" style="6"/>
  </cols>
  <sheetData>
    <row r="2" spans="1:53" x14ac:dyDescent="0.3">
      <c r="AS2" s="6" t="s">
        <v>97</v>
      </c>
    </row>
    <row r="3" spans="1:53" x14ac:dyDescent="0.3">
      <c r="A3" s="3" t="s">
        <v>18</v>
      </c>
      <c r="B3" s="3" t="s">
        <v>20</v>
      </c>
      <c r="C3" s="87" t="s">
        <v>0</v>
      </c>
      <c r="D3" s="69" t="s">
        <v>96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5" t="s">
        <v>33</v>
      </c>
      <c r="Q3" s="65" t="s">
        <v>32</v>
      </c>
      <c r="V3" s="87" t="s">
        <v>53</v>
      </c>
      <c r="W3" s="70" t="s">
        <v>54</v>
      </c>
      <c r="X3" s="71"/>
      <c r="Y3" s="72"/>
      <c r="Z3" s="65" t="s">
        <v>33</v>
      </c>
      <c r="AA3" s="65" t="s">
        <v>32</v>
      </c>
      <c r="AC3" s="65" t="s">
        <v>61</v>
      </c>
      <c r="AD3" s="65" t="s">
        <v>62</v>
      </c>
      <c r="AE3" s="65" t="s">
        <v>63</v>
      </c>
      <c r="AF3" s="65" t="s">
        <v>64</v>
      </c>
      <c r="AG3" s="65" t="s">
        <v>65</v>
      </c>
      <c r="AH3" s="69" t="s">
        <v>66</v>
      </c>
      <c r="AI3" s="69"/>
      <c r="AJ3" s="65" t="s">
        <v>67</v>
      </c>
      <c r="AK3" s="65" t="s">
        <v>68</v>
      </c>
      <c r="AM3" s="78" t="s">
        <v>80</v>
      </c>
      <c r="AN3" s="78"/>
      <c r="AS3" s="65" t="s">
        <v>61</v>
      </c>
      <c r="AT3" s="65" t="s">
        <v>62</v>
      </c>
      <c r="AU3" s="65" t="s">
        <v>63</v>
      </c>
      <c r="AV3" s="65" t="s">
        <v>64</v>
      </c>
      <c r="AW3" s="65" t="s">
        <v>65</v>
      </c>
      <c r="AX3" s="69" t="s">
        <v>66</v>
      </c>
      <c r="AY3" s="69"/>
      <c r="AZ3" s="65" t="s">
        <v>67</v>
      </c>
      <c r="BA3" s="65" t="s">
        <v>68</v>
      </c>
    </row>
    <row r="4" spans="1:53" ht="14.5" customHeight="1" x14ac:dyDescent="0.3">
      <c r="A4" s="65">
        <v>3</v>
      </c>
      <c r="B4" s="74" t="s">
        <v>36</v>
      </c>
      <c r="C4" s="87"/>
      <c r="D4" s="69" t="s">
        <v>2</v>
      </c>
      <c r="E4" s="69"/>
      <c r="F4" s="69"/>
      <c r="G4" s="69"/>
      <c r="H4" s="69" t="s">
        <v>7</v>
      </c>
      <c r="I4" s="69"/>
      <c r="J4" s="69"/>
      <c r="K4" s="69"/>
      <c r="L4" s="69" t="s">
        <v>8</v>
      </c>
      <c r="M4" s="69"/>
      <c r="N4" s="69"/>
      <c r="O4" s="69"/>
      <c r="P4" s="73"/>
      <c r="Q4" s="73"/>
      <c r="S4" s="6" t="s">
        <v>71</v>
      </c>
      <c r="T4" s="6">
        <v>12</v>
      </c>
      <c r="V4" s="87"/>
      <c r="W4" s="3" t="s">
        <v>55</v>
      </c>
      <c r="X4" s="3" t="s">
        <v>56</v>
      </c>
      <c r="Y4" s="3" t="s">
        <v>57</v>
      </c>
      <c r="Z4" s="66"/>
      <c r="AA4" s="66"/>
      <c r="AC4" s="66"/>
      <c r="AD4" s="66"/>
      <c r="AE4" s="66"/>
      <c r="AF4" s="66"/>
      <c r="AG4" s="66"/>
      <c r="AH4" s="42">
        <v>0.05</v>
      </c>
      <c r="AI4" s="42">
        <v>0.01</v>
      </c>
      <c r="AJ4" s="66"/>
      <c r="AK4" s="66"/>
      <c r="AM4" s="54" t="s">
        <v>74</v>
      </c>
      <c r="AN4" s="54">
        <f>SQRT(AF9/12)</f>
        <v>1.0354105059467547</v>
      </c>
      <c r="AO4" s="56"/>
      <c r="AP4" s="55" t="s">
        <v>84</v>
      </c>
      <c r="AS4" s="66"/>
      <c r="AT4" s="66"/>
      <c r="AU4" s="66"/>
      <c r="AV4" s="66"/>
      <c r="AW4" s="66"/>
      <c r="AX4" s="42">
        <v>0.05</v>
      </c>
      <c r="AY4" s="42">
        <v>0.01</v>
      </c>
      <c r="AZ4" s="66"/>
      <c r="BA4" s="66"/>
    </row>
    <row r="5" spans="1:53" x14ac:dyDescent="0.3">
      <c r="A5" s="73"/>
      <c r="B5" s="75"/>
      <c r="C5" s="87"/>
      <c r="D5" s="18" t="s">
        <v>3</v>
      </c>
      <c r="E5" s="18" t="s">
        <v>4</v>
      </c>
      <c r="F5" s="18" t="s">
        <v>5</v>
      </c>
      <c r="G5" s="18" t="s">
        <v>6</v>
      </c>
      <c r="H5" s="18" t="s">
        <v>3</v>
      </c>
      <c r="I5" s="18" t="s">
        <v>4</v>
      </c>
      <c r="J5" s="18" t="s">
        <v>5</v>
      </c>
      <c r="K5" s="18" t="s">
        <v>6</v>
      </c>
      <c r="L5" s="18" t="s">
        <v>3</v>
      </c>
      <c r="M5" s="18" t="s">
        <v>4</v>
      </c>
      <c r="N5" s="18" t="s">
        <v>5</v>
      </c>
      <c r="O5" s="18" t="s">
        <v>6</v>
      </c>
      <c r="P5" s="66"/>
      <c r="Q5" s="66"/>
      <c r="S5" s="6" t="s">
        <v>44</v>
      </c>
      <c r="T5" s="6">
        <v>3</v>
      </c>
      <c r="V5" s="3" t="s">
        <v>58</v>
      </c>
      <c r="W5" s="35">
        <f>SUM(D6:O6)</f>
        <v>278</v>
      </c>
      <c r="X5" s="2">
        <f>SUM(D7:O7)</f>
        <v>262</v>
      </c>
      <c r="Y5" s="2">
        <f>SUM(D8:O8)</f>
        <v>256</v>
      </c>
      <c r="Z5" s="2">
        <f>SUM(W5:Y5)</f>
        <v>796</v>
      </c>
      <c r="AA5" s="53">
        <f>AVERAGE(W5:Y5)</f>
        <v>265.33333333333331</v>
      </c>
      <c r="AC5" s="3" t="s">
        <v>43</v>
      </c>
      <c r="AD5" s="2">
        <f>12-1</f>
        <v>11</v>
      </c>
      <c r="AE5" s="53">
        <f>T9</f>
        <v>185.22222222222263</v>
      </c>
      <c r="AF5" s="53">
        <f>AE5/AD5</f>
        <v>16.838383838383876</v>
      </c>
      <c r="AG5" s="53">
        <f>AF5/AF9</f>
        <v>1.3088624987731916</v>
      </c>
      <c r="AH5" s="53">
        <f>FINV(AH4,AD5,AD9)</f>
        <v>1.8991710184693407</v>
      </c>
      <c r="AI5" s="53">
        <f>FINV(AI4,AD5,AD9)</f>
        <v>2.4560580535880434</v>
      </c>
      <c r="AJ5" s="30" t="s">
        <v>95</v>
      </c>
      <c r="AK5" s="2"/>
      <c r="AM5" s="53" t="s">
        <v>75</v>
      </c>
      <c r="AN5" s="54">
        <v>4.46</v>
      </c>
      <c r="AO5" s="51"/>
      <c r="AP5" s="51"/>
      <c r="AS5" s="3" t="s">
        <v>43</v>
      </c>
      <c r="AT5" s="2">
        <f>12-1</f>
        <v>11</v>
      </c>
      <c r="AU5" s="6">
        <f>SUMSQ(D15:O15)/(3*3)-AT14</f>
        <v>185.22222222222263</v>
      </c>
      <c r="AV5" s="53">
        <f>AU5/AT5</f>
        <v>16.838383838383876</v>
      </c>
      <c r="AW5" s="53">
        <f>AV5/AV10</f>
        <v>1.3088624987731916</v>
      </c>
      <c r="AX5" s="53">
        <f>FINV(AX4,AT5,AT10)</f>
        <v>1.8991710184693407</v>
      </c>
      <c r="AY5" s="53">
        <f>FINV(AY4,AT5,AT10)</f>
        <v>2.4560580535880434</v>
      </c>
      <c r="AZ5" s="2" t="str">
        <f>IF(AW5&gt;AY5,"**",IF(AW5&gt;AX5,"*","TN"))</f>
        <v>TN</v>
      </c>
      <c r="BA5" s="2" t="str">
        <f>IF(AZ5="TN","Tidak Nyata",IF(AZ5="*","Nyata",IF(AZ5="**","Sangat Nyata",0)))</f>
        <v>Tidak Nyata</v>
      </c>
    </row>
    <row r="6" spans="1:53" x14ac:dyDescent="0.3">
      <c r="A6" s="73"/>
      <c r="B6" s="75"/>
      <c r="C6" s="21" t="s">
        <v>9</v>
      </c>
      <c r="D6" s="61">
        <v>27</v>
      </c>
      <c r="E6" s="61">
        <v>15</v>
      </c>
      <c r="F6" s="61">
        <v>22</v>
      </c>
      <c r="G6" s="61">
        <v>23</v>
      </c>
      <c r="H6" s="61">
        <v>13</v>
      </c>
      <c r="I6" s="61">
        <v>24</v>
      </c>
      <c r="J6" s="61">
        <v>30</v>
      </c>
      <c r="K6" s="61">
        <v>24</v>
      </c>
      <c r="L6" s="61">
        <v>24</v>
      </c>
      <c r="M6" s="61">
        <v>34</v>
      </c>
      <c r="N6" s="61">
        <v>14</v>
      </c>
      <c r="O6" s="61">
        <v>28</v>
      </c>
      <c r="P6" s="62">
        <f xml:space="preserve"> SUM(D6:O6)</f>
        <v>278</v>
      </c>
      <c r="Q6" s="53">
        <f>AVERAGE(D6:O6)</f>
        <v>23.166666666666668</v>
      </c>
      <c r="S6" s="6" t="s">
        <v>45</v>
      </c>
      <c r="T6" s="6">
        <v>3</v>
      </c>
      <c r="V6" s="3" t="s">
        <v>59</v>
      </c>
      <c r="W6" s="2">
        <f>SUM(D9:O9)</f>
        <v>138</v>
      </c>
      <c r="X6" s="2">
        <f>SUM(D10:O10)</f>
        <v>124</v>
      </c>
      <c r="Y6" s="2">
        <f>SUM(D11:O11)</f>
        <v>163</v>
      </c>
      <c r="Z6" s="2">
        <f>SUM(W6:Y6)</f>
        <v>425</v>
      </c>
      <c r="AA6" s="53">
        <f>AVERAGE(W6:Y6)</f>
        <v>141.66666666666666</v>
      </c>
      <c r="AC6" s="3" t="s">
        <v>45</v>
      </c>
      <c r="AD6" s="2">
        <f>3-1</f>
        <v>2</v>
      </c>
      <c r="AE6" s="53">
        <f>T10</f>
        <v>11.166666666667879</v>
      </c>
      <c r="AF6" s="53">
        <f>AE6/AD6</f>
        <v>5.5833333333339397</v>
      </c>
      <c r="AG6" s="53">
        <f>AF6/AF9</f>
        <v>0.43399744822852943</v>
      </c>
      <c r="AH6" s="53">
        <f>FINV(AH4,AD6,AD9)</f>
        <v>3.1000686386371408</v>
      </c>
      <c r="AI6" s="53">
        <f>FINV(AI4,AD6,AD9)</f>
        <v>4.8547979993760721</v>
      </c>
      <c r="AJ6" s="30" t="s">
        <v>95</v>
      </c>
      <c r="AK6" s="2"/>
      <c r="AM6" s="53" t="s">
        <v>76</v>
      </c>
      <c r="AN6" s="54">
        <f>AN5*AN4</f>
        <v>4.6179308565225261</v>
      </c>
      <c r="AO6" s="51"/>
      <c r="AP6" s="51"/>
      <c r="AS6" s="3" t="s">
        <v>98</v>
      </c>
      <c r="AT6" s="2">
        <f>3*3-1</f>
        <v>8</v>
      </c>
      <c r="AU6" s="53">
        <f>SUMSQ(P6:P14)/12-AT14</f>
        <v>2069.6666666666679</v>
      </c>
      <c r="AV6" s="53">
        <f t="shared" ref="AV6:AV10" si="0">AU6/AT6</f>
        <v>258.70833333333348</v>
      </c>
      <c r="AW6" s="53">
        <f>AV6/AV10</f>
        <v>20.109628030228716</v>
      </c>
      <c r="AX6" s="53">
        <f>FINV(AX4,AT6,AT10)</f>
        <v>2.0454143150341193</v>
      </c>
      <c r="AY6" s="53">
        <f>FINV(AY4,AT6,AT10)</f>
        <v>2.720181875728696</v>
      </c>
      <c r="AZ6" s="2" t="str">
        <f>IF(AW6&gt;AY6,"**",IF(AW6&gt;AX6,"*","TN"))</f>
        <v>**</v>
      </c>
      <c r="BA6" s="2" t="str">
        <f t="shared" ref="BA6:BA9" si="1">IF(AZ6="TN","Tidak Nyata",IF(AZ6="*","Nyata",IF(AZ6="**","Sangat Nyata",0)))</f>
        <v>Sangat Nyata</v>
      </c>
    </row>
    <row r="7" spans="1:53" x14ac:dyDescent="0.3">
      <c r="A7" s="73"/>
      <c r="B7" s="75"/>
      <c r="C7" s="21" t="s">
        <v>10</v>
      </c>
      <c r="D7" s="35">
        <v>24</v>
      </c>
      <c r="E7" s="35">
        <v>18</v>
      </c>
      <c r="F7" s="35">
        <v>24</v>
      </c>
      <c r="G7" s="35">
        <v>21</v>
      </c>
      <c r="H7" s="35">
        <v>17</v>
      </c>
      <c r="I7" s="35">
        <v>22</v>
      </c>
      <c r="J7" s="35">
        <v>24</v>
      </c>
      <c r="K7" s="35">
        <v>21</v>
      </c>
      <c r="L7" s="35">
        <v>23</v>
      </c>
      <c r="M7" s="35">
        <v>24</v>
      </c>
      <c r="N7" s="35">
        <v>19</v>
      </c>
      <c r="O7" s="35">
        <v>25</v>
      </c>
      <c r="P7" s="62">
        <f t="shared" ref="P7:P15" si="2" xml:space="preserve"> SUM(D7:O7)</f>
        <v>262</v>
      </c>
      <c r="Q7" s="53">
        <f t="shared" ref="Q7:Q14" si="3">AVERAGE(D7:O7)</f>
        <v>21.833333333333332</v>
      </c>
      <c r="S7" s="6" t="s">
        <v>46</v>
      </c>
      <c r="T7" s="51">
        <f>(P15^2)/(12*3*3)</f>
        <v>29403</v>
      </c>
      <c r="V7" s="3" t="s">
        <v>60</v>
      </c>
      <c r="W7" s="2">
        <f>SUM(D12:O12)</f>
        <v>173</v>
      </c>
      <c r="X7" s="2">
        <f>SUM(D13:O13)</f>
        <v>197</v>
      </c>
      <c r="Y7" s="2">
        <f>SUM(D14:O14)</f>
        <v>191</v>
      </c>
      <c r="Z7" s="2">
        <f>SUM(W7:Y7)</f>
        <v>561</v>
      </c>
      <c r="AA7" s="53">
        <f>AVERAGE(W7:Y7)</f>
        <v>187</v>
      </c>
      <c r="AC7" s="3" t="s">
        <v>44</v>
      </c>
      <c r="AD7" s="2">
        <f>3-1</f>
        <v>2</v>
      </c>
      <c r="AE7" s="53">
        <f>T11</f>
        <v>1957.0555555555547</v>
      </c>
      <c r="AF7" s="53">
        <f>AE7/AD7</f>
        <v>978.52777777777737</v>
      </c>
      <c r="AG7" s="53">
        <f>AF7/AF9</f>
        <v>76.061831386789748</v>
      </c>
      <c r="AH7" s="53">
        <f>FINV(AH4,AD7,AD9)</f>
        <v>3.1000686386371408</v>
      </c>
      <c r="AI7" s="53">
        <f>FINV(AI4,AD7,AD9)</f>
        <v>4.8547979993760721</v>
      </c>
      <c r="AJ7" s="30" t="s">
        <v>72</v>
      </c>
      <c r="AK7" s="2"/>
      <c r="AM7" s="51"/>
      <c r="AN7" s="51"/>
      <c r="AO7" s="51"/>
      <c r="AP7" s="51"/>
      <c r="AS7" s="3" t="s">
        <v>45</v>
      </c>
      <c r="AT7" s="2">
        <f>3-1</f>
        <v>2</v>
      </c>
      <c r="AU7" s="53">
        <f>SUMSQ(W8:Y8)/(3*12)-AT14</f>
        <v>11.166666666667879</v>
      </c>
      <c r="AV7" s="53">
        <f t="shared" si="0"/>
        <v>5.5833333333339397</v>
      </c>
      <c r="AW7" s="53">
        <f>AV7/AV10</f>
        <v>0.43399744822852943</v>
      </c>
      <c r="AX7" s="53">
        <f>FINV(AX4,AT7,AT10)</f>
        <v>3.1000686386371408</v>
      </c>
      <c r="AY7" s="53">
        <f>FINV(AY4,AT7,AT10)</f>
        <v>4.8547979993760721</v>
      </c>
      <c r="AZ7" s="2" t="str">
        <f>IF(AW7&gt;AY7,"**",IF(AW7&gt;AX7,"*","TN"))</f>
        <v>TN</v>
      </c>
      <c r="BA7" s="2" t="str">
        <f t="shared" si="1"/>
        <v>Tidak Nyata</v>
      </c>
    </row>
    <row r="8" spans="1:53" x14ac:dyDescent="0.3">
      <c r="A8" s="73"/>
      <c r="B8" s="75"/>
      <c r="C8" s="21" t="s">
        <v>11</v>
      </c>
      <c r="D8" s="35">
        <v>22</v>
      </c>
      <c r="E8" s="35">
        <v>21</v>
      </c>
      <c r="F8" s="35">
        <v>22</v>
      </c>
      <c r="G8" s="35">
        <v>22</v>
      </c>
      <c r="H8" s="35">
        <v>20</v>
      </c>
      <c r="I8" s="35">
        <v>22</v>
      </c>
      <c r="J8" s="35">
        <v>23</v>
      </c>
      <c r="K8" s="35">
        <v>21</v>
      </c>
      <c r="L8" s="35">
        <v>22</v>
      </c>
      <c r="M8" s="35">
        <v>20</v>
      </c>
      <c r="N8" s="35">
        <v>18</v>
      </c>
      <c r="O8" s="35">
        <v>23</v>
      </c>
      <c r="P8" s="62">
        <f t="shared" si="2"/>
        <v>256</v>
      </c>
      <c r="Q8" s="53">
        <f t="shared" si="3"/>
        <v>21.333333333333332</v>
      </c>
      <c r="S8" s="6" t="s">
        <v>47</v>
      </c>
      <c r="T8" s="51">
        <f>SUMSQ(D6:O14)-T7</f>
        <v>3387</v>
      </c>
      <c r="V8" s="3" t="s">
        <v>33</v>
      </c>
      <c r="W8" s="2">
        <f>SUM(W5:W7)</f>
        <v>589</v>
      </c>
      <c r="X8" s="2">
        <f>SUM(X5:X7)</f>
        <v>583</v>
      </c>
      <c r="Y8" s="2">
        <f>SUM(Y5:Y7)</f>
        <v>610</v>
      </c>
      <c r="Z8" s="2">
        <f>SUM(W8:Y8)</f>
        <v>1782</v>
      </c>
      <c r="AA8" s="53">
        <f>AVERAGE(W8:Y8)</f>
        <v>594</v>
      </c>
      <c r="AC8" s="3" t="s">
        <v>69</v>
      </c>
      <c r="AD8" s="2">
        <f>(3-1)*(3-1)</f>
        <v>4</v>
      </c>
      <c r="AE8" s="53">
        <f>T12</f>
        <v>101.44444444444525</v>
      </c>
      <c r="AF8" s="53">
        <f>AE8/AD8</f>
        <v>25.361111111111313</v>
      </c>
      <c r="AG8" s="53">
        <f>AF8/AF9</f>
        <v>1.9713416429482959</v>
      </c>
      <c r="AH8" s="53">
        <f>FINV(AH4,AD8,AD9)</f>
        <v>2.4752774088696223</v>
      </c>
      <c r="AI8" s="53">
        <f>FINV(AI4,AD8,AD9)</f>
        <v>3.5400845421240663</v>
      </c>
      <c r="AJ8" s="30" t="s">
        <v>95</v>
      </c>
      <c r="AK8" s="2"/>
      <c r="AM8" s="54" t="s">
        <v>0</v>
      </c>
      <c r="AN8" s="54" t="s">
        <v>32</v>
      </c>
      <c r="AO8" s="54" t="s">
        <v>67</v>
      </c>
      <c r="AP8" s="54" t="s">
        <v>77</v>
      </c>
      <c r="AS8" s="3" t="s">
        <v>44</v>
      </c>
      <c r="AT8" s="2">
        <f>3-1</f>
        <v>2</v>
      </c>
      <c r="AU8" s="53">
        <f>SUMSQ(Z5:Z7)/(3*12)-AT14</f>
        <v>1957.0555555555547</v>
      </c>
      <c r="AV8" s="53">
        <f t="shared" si="0"/>
        <v>978.52777777777737</v>
      </c>
      <c r="AW8" s="53">
        <f>AV8/AV10</f>
        <v>76.061831386789748</v>
      </c>
      <c r="AX8" s="53">
        <f>FINV(AX4,AT8,AT10)</f>
        <v>3.1000686386371408</v>
      </c>
      <c r="AY8" s="53">
        <f>FINV(AY4,AT8,AT10)</f>
        <v>4.8547979993760721</v>
      </c>
      <c r="AZ8" s="2" t="str">
        <f>IF(AW8&gt;AY8,"**",IF(AW8&gt;AX8,"*","TN"))</f>
        <v>**</v>
      </c>
      <c r="BA8" s="2" t="str">
        <f t="shared" si="1"/>
        <v>Sangat Nyata</v>
      </c>
    </row>
    <row r="9" spans="1:53" x14ac:dyDescent="0.3">
      <c r="A9" s="73"/>
      <c r="B9" s="75"/>
      <c r="C9" s="21" t="s">
        <v>12</v>
      </c>
      <c r="D9" s="61">
        <v>13</v>
      </c>
      <c r="E9" s="61">
        <v>11</v>
      </c>
      <c r="F9" s="61">
        <v>12</v>
      </c>
      <c r="G9" s="61">
        <v>12</v>
      </c>
      <c r="H9" s="61">
        <v>11</v>
      </c>
      <c r="I9" s="61">
        <v>8</v>
      </c>
      <c r="J9" s="61">
        <v>16</v>
      </c>
      <c r="K9" s="61">
        <v>16</v>
      </c>
      <c r="L9" s="61">
        <v>6</v>
      </c>
      <c r="M9" s="61">
        <v>8</v>
      </c>
      <c r="N9" s="61">
        <v>14</v>
      </c>
      <c r="O9" s="61">
        <v>11</v>
      </c>
      <c r="P9" s="62">
        <f t="shared" si="2"/>
        <v>138</v>
      </c>
      <c r="Q9" s="53">
        <f t="shared" si="3"/>
        <v>11.5</v>
      </c>
      <c r="S9" s="6" t="s">
        <v>48</v>
      </c>
      <c r="T9" s="51">
        <f>(SUMSQ(D15:O15)/(3*3))-T7</f>
        <v>185.22222222222263</v>
      </c>
      <c r="V9" s="3" t="s">
        <v>32</v>
      </c>
      <c r="W9" s="53">
        <f>AVERAGE(W5:W7)</f>
        <v>196.33333333333334</v>
      </c>
      <c r="X9" s="53">
        <f>AVERAGE(X5:X7)</f>
        <v>194.33333333333334</v>
      </c>
      <c r="Y9" s="53">
        <f>AVERAGE(Y5:Y7)</f>
        <v>203.33333333333334</v>
      </c>
      <c r="Z9" s="2"/>
      <c r="AA9" s="53"/>
      <c r="AC9" s="3" t="s">
        <v>70</v>
      </c>
      <c r="AD9" s="2">
        <f>((3*3)-1)*(12-1)</f>
        <v>88</v>
      </c>
      <c r="AE9" s="53">
        <f>T13</f>
        <v>1132.1111111111095</v>
      </c>
      <c r="AF9" s="53">
        <f>AE9/AD9</f>
        <v>12.864898989898972</v>
      </c>
      <c r="AG9" s="53"/>
      <c r="AH9" s="53"/>
      <c r="AI9" s="53"/>
      <c r="AJ9" s="2"/>
      <c r="AK9" s="2"/>
      <c r="AM9" s="60" t="s">
        <v>13</v>
      </c>
      <c r="AN9" s="53">
        <v>10.333333333333334</v>
      </c>
      <c r="AO9" s="53" t="s">
        <v>93</v>
      </c>
      <c r="AP9" s="53">
        <v>16.18</v>
      </c>
      <c r="AS9" s="3" t="s">
        <v>69</v>
      </c>
      <c r="AT9" s="2">
        <f>AT7*AT8</f>
        <v>4</v>
      </c>
      <c r="AU9" s="53">
        <f>AU6-AU7-AU8</f>
        <v>101.44444444444525</v>
      </c>
      <c r="AV9" s="53">
        <f t="shared" si="0"/>
        <v>25.361111111111313</v>
      </c>
      <c r="AW9" s="53">
        <f>AV9/AV10</f>
        <v>1.9713416429482959</v>
      </c>
      <c r="AX9" s="53">
        <f>FINV(AX4,AT9,AT10)</f>
        <v>2.4752774088696223</v>
      </c>
      <c r="AY9" s="53">
        <f>FINV(AY4,AT9,AT10)</f>
        <v>3.5400845421240663</v>
      </c>
      <c r="AZ9" s="2" t="str">
        <f>IF(AW9&gt;AY9,"**",IF(AW9&gt;AX9,"*","TN"))</f>
        <v>TN</v>
      </c>
      <c r="BA9" s="2" t="str">
        <f t="shared" si="1"/>
        <v>Tidak Nyata</v>
      </c>
    </row>
    <row r="10" spans="1:53" x14ac:dyDescent="0.3">
      <c r="A10" s="73"/>
      <c r="B10" s="75"/>
      <c r="C10" s="21" t="s">
        <v>13</v>
      </c>
      <c r="D10" s="61">
        <v>12</v>
      </c>
      <c r="E10" s="61">
        <v>11</v>
      </c>
      <c r="F10" s="61">
        <v>10</v>
      </c>
      <c r="G10" s="61">
        <v>10</v>
      </c>
      <c r="H10" s="61">
        <v>11</v>
      </c>
      <c r="I10" s="61">
        <v>6</v>
      </c>
      <c r="J10" s="61">
        <v>7</v>
      </c>
      <c r="K10" s="61">
        <v>7</v>
      </c>
      <c r="L10" s="61">
        <v>8</v>
      </c>
      <c r="M10" s="61">
        <v>13</v>
      </c>
      <c r="N10" s="61">
        <v>11</v>
      </c>
      <c r="O10" s="61">
        <v>18</v>
      </c>
      <c r="P10" s="62">
        <f t="shared" si="2"/>
        <v>124</v>
      </c>
      <c r="Q10" s="53">
        <f t="shared" si="3"/>
        <v>10.333333333333334</v>
      </c>
      <c r="S10" s="6" t="s">
        <v>50</v>
      </c>
      <c r="T10" s="51">
        <f>(SUMSQ(W8:Y8)/(12*3))-T7</f>
        <v>11.166666666667879</v>
      </c>
      <c r="AA10" s="51"/>
      <c r="AC10" s="3" t="s">
        <v>33</v>
      </c>
      <c r="AD10" s="2">
        <f>(3*3*12)-1</f>
        <v>107</v>
      </c>
      <c r="AE10" s="53">
        <f>T8</f>
        <v>3387</v>
      </c>
      <c r="AF10" s="53"/>
      <c r="AG10" s="53"/>
      <c r="AH10" s="53"/>
      <c r="AI10" s="53"/>
      <c r="AJ10" s="2"/>
      <c r="AK10" s="2"/>
      <c r="AM10" s="60" t="s">
        <v>12</v>
      </c>
      <c r="AN10" s="53">
        <v>11.5</v>
      </c>
      <c r="AO10" s="53" t="s">
        <v>99</v>
      </c>
      <c r="AP10" s="53">
        <v>17.350000000000001</v>
      </c>
      <c r="AS10" s="3" t="s">
        <v>70</v>
      </c>
      <c r="AT10" s="2">
        <f>AT11-AT5-AT6</f>
        <v>88</v>
      </c>
      <c r="AU10" s="53">
        <f>AU11-AU5-AU6</f>
        <v>1132.1111111111095</v>
      </c>
      <c r="AV10" s="53">
        <f t="shared" si="0"/>
        <v>12.864898989898972</v>
      </c>
      <c r="AW10" s="53"/>
      <c r="AX10" s="53"/>
      <c r="AY10" s="53"/>
      <c r="AZ10" s="2"/>
      <c r="BA10" s="2"/>
    </row>
    <row r="11" spans="1:53" x14ac:dyDescent="0.3">
      <c r="A11" s="73"/>
      <c r="B11" s="75"/>
      <c r="C11" s="21" t="s">
        <v>14</v>
      </c>
      <c r="D11" s="61">
        <v>6</v>
      </c>
      <c r="E11" s="61">
        <v>17</v>
      </c>
      <c r="F11" s="61">
        <v>18</v>
      </c>
      <c r="G11" s="61">
        <v>7</v>
      </c>
      <c r="H11" s="61">
        <v>8</v>
      </c>
      <c r="I11" s="61">
        <v>14</v>
      </c>
      <c r="J11" s="61">
        <v>18</v>
      </c>
      <c r="K11" s="61">
        <v>19</v>
      </c>
      <c r="L11" s="61">
        <v>9</v>
      </c>
      <c r="M11" s="61">
        <v>10</v>
      </c>
      <c r="N11" s="61">
        <v>18</v>
      </c>
      <c r="O11" s="61">
        <v>19</v>
      </c>
      <c r="P11" s="62">
        <f t="shared" si="2"/>
        <v>163</v>
      </c>
      <c r="Q11" s="53">
        <f t="shared" si="3"/>
        <v>13.583333333333334</v>
      </c>
      <c r="S11" s="6" t="s">
        <v>49</v>
      </c>
      <c r="T11" s="51">
        <f>(SUMSQ(Z5:Z7)/(12*3))-T7</f>
        <v>1957.0555555555547</v>
      </c>
      <c r="AA11" s="51"/>
      <c r="AE11" s="51"/>
      <c r="AF11" s="51"/>
      <c r="AG11" s="51"/>
      <c r="AH11" s="51"/>
      <c r="AI11" s="51"/>
      <c r="AM11" s="60" t="s">
        <v>14</v>
      </c>
      <c r="AN11" s="53">
        <v>13.583333333333334</v>
      </c>
      <c r="AO11" s="53" t="s">
        <v>99</v>
      </c>
      <c r="AP11" s="53">
        <v>19.43</v>
      </c>
      <c r="AS11" s="3" t="s">
        <v>33</v>
      </c>
      <c r="AT11" s="2">
        <f>(3*3*12)-1</f>
        <v>107</v>
      </c>
      <c r="AU11" s="53">
        <f>SUMSQ(D6:O14)-AT14</f>
        <v>3387</v>
      </c>
      <c r="AV11" s="53"/>
      <c r="AW11" s="53"/>
      <c r="AX11" s="53"/>
      <c r="AY11" s="53"/>
      <c r="AZ11" s="2"/>
      <c r="BA11" s="2"/>
    </row>
    <row r="12" spans="1:53" x14ac:dyDescent="0.3">
      <c r="A12" s="73"/>
      <c r="B12" s="75"/>
      <c r="C12" s="21" t="s">
        <v>15</v>
      </c>
      <c r="D12" s="61">
        <v>9</v>
      </c>
      <c r="E12" s="61">
        <v>12</v>
      </c>
      <c r="F12" s="61">
        <v>14</v>
      </c>
      <c r="G12" s="61">
        <v>13</v>
      </c>
      <c r="H12" s="61">
        <v>18</v>
      </c>
      <c r="I12" s="61">
        <v>20</v>
      </c>
      <c r="J12" s="61">
        <v>14</v>
      </c>
      <c r="K12" s="61">
        <v>14</v>
      </c>
      <c r="L12" s="61">
        <v>13</v>
      </c>
      <c r="M12" s="61">
        <v>15</v>
      </c>
      <c r="N12" s="61">
        <v>18</v>
      </c>
      <c r="O12" s="61">
        <v>13</v>
      </c>
      <c r="P12" s="62">
        <f t="shared" si="2"/>
        <v>173</v>
      </c>
      <c r="Q12" s="53">
        <f t="shared" si="3"/>
        <v>14.416666666666666</v>
      </c>
      <c r="S12" s="6" t="s">
        <v>51</v>
      </c>
      <c r="T12" s="51">
        <f>(SUMSQ(W5:Y7)/(12))-T7-T10-T11</f>
        <v>101.44444444444525</v>
      </c>
      <c r="AA12" s="51"/>
      <c r="AE12" s="51"/>
      <c r="AF12" s="51"/>
      <c r="AG12" s="51"/>
      <c r="AH12" s="51"/>
      <c r="AI12" s="51"/>
      <c r="AM12" s="60" t="s">
        <v>15</v>
      </c>
      <c r="AN12" s="53">
        <v>14.416666666666666</v>
      </c>
      <c r="AO12" s="53" t="s">
        <v>99</v>
      </c>
      <c r="AP12" s="53">
        <v>20.27</v>
      </c>
    </row>
    <row r="13" spans="1:53" x14ac:dyDescent="0.3">
      <c r="A13" s="73"/>
      <c r="B13" s="75"/>
      <c r="C13" s="21" t="s">
        <v>16</v>
      </c>
      <c r="D13" s="61">
        <v>15</v>
      </c>
      <c r="E13" s="61">
        <v>16</v>
      </c>
      <c r="F13" s="61">
        <v>17</v>
      </c>
      <c r="G13" s="61">
        <v>17</v>
      </c>
      <c r="H13" s="61">
        <v>15</v>
      </c>
      <c r="I13" s="61">
        <v>13</v>
      </c>
      <c r="J13" s="61">
        <v>21</v>
      </c>
      <c r="K13" s="61">
        <v>11</v>
      </c>
      <c r="L13" s="61">
        <v>18</v>
      </c>
      <c r="M13" s="61">
        <v>19</v>
      </c>
      <c r="N13" s="61">
        <v>18</v>
      </c>
      <c r="O13" s="61">
        <v>17</v>
      </c>
      <c r="P13" s="62">
        <f t="shared" si="2"/>
        <v>197</v>
      </c>
      <c r="Q13" s="53">
        <f t="shared" si="3"/>
        <v>16.416666666666668</v>
      </c>
      <c r="S13" s="6" t="s">
        <v>52</v>
      </c>
      <c r="T13" s="51">
        <f>T8-T9-T10-T11-T12</f>
        <v>1132.1111111111095</v>
      </c>
      <c r="AA13" s="51"/>
      <c r="AE13" s="51"/>
      <c r="AF13" s="51"/>
      <c r="AG13" s="51"/>
      <c r="AH13" s="51"/>
      <c r="AI13" s="51"/>
      <c r="AM13" s="60" t="s">
        <v>17</v>
      </c>
      <c r="AN13" s="53">
        <v>15.916666666666666</v>
      </c>
      <c r="AO13" s="53" t="s">
        <v>100</v>
      </c>
      <c r="AP13" s="53">
        <v>21.77</v>
      </c>
    </row>
    <row r="14" spans="1:53" x14ac:dyDescent="0.3">
      <c r="A14" s="73"/>
      <c r="B14" s="75"/>
      <c r="C14" s="21" t="s">
        <v>17</v>
      </c>
      <c r="D14" s="61">
        <v>12</v>
      </c>
      <c r="E14" s="61">
        <v>18</v>
      </c>
      <c r="F14" s="61">
        <v>20</v>
      </c>
      <c r="G14" s="61">
        <v>17</v>
      </c>
      <c r="H14" s="61">
        <v>15</v>
      </c>
      <c r="I14" s="61">
        <v>18</v>
      </c>
      <c r="J14" s="61">
        <v>14</v>
      </c>
      <c r="K14" s="61">
        <v>13</v>
      </c>
      <c r="L14" s="61">
        <v>16</v>
      </c>
      <c r="M14" s="61">
        <v>16</v>
      </c>
      <c r="N14" s="61">
        <v>18</v>
      </c>
      <c r="O14" s="61">
        <v>14</v>
      </c>
      <c r="P14" s="62">
        <f t="shared" si="2"/>
        <v>191</v>
      </c>
      <c r="Q14" s="53">
        <f t="shared" si="3"/>
        <v>15.916666666666666</v>
      </c>
      <c r="AA14" s="51"/>
      <c r="AE14" s="51"/>
      <c r="AF14" s="51"/>
      <c r="AG14" s="51"/>
      <c r="AH14" s="51"/>
      <c r="AI14" s="51"/>
      <c r="AM14" s="60" t="s">
        <v>16</v>
      </c>
      <c r="AN14" s="53">
        <v>16.416666666666668</v>
      </c>
      <c r="AO14" s="53" t="s">
        <v>105</v>
      </c>
      <c r="AP14" s="53">
        <v>22.27</v>
      </c>
      <c r="AS14" s="2" t="s">
        <v>46</v>
      </c>
      <c r="AT14" s="53">
        <f>P15^2/(3*3*12)</f>
        <v>29403</v>
      </c>
    </row>
    <row r="15" spans="1:53" x14ac:dyDescent="0.3">
      <c r="A15" s="73"/>
      <c r="B15" s="75"/>
      <c r="C15" s="20" t="s">
        <v>33</v>
      </c>
      <c r="D15" s="63">
        <f>SUM(D6:D14)</f>
        <v>140</v>
      </c>
      <c r="E15" s="63">
        <f t="shared" ref="E15:O15" si="4">SUM(E6:E14)</f>
        <v>139</v>
      </c>
      <c r="F15" s="63">
        <f t="shared" si="4"/>
        <v>159</v>
      </c>
      <c r="G15" s="63">
        <f t="shared" si="4"/>
        <v>142</v>
      </c>
      <c r="H15" s="63">
        <f t="shared" si="4"/>
        <v>128</v>
      </c>
      <c r="I15" s="63">
        <f t="shared" si="4"/>
        <v>147</v>
      </c>
      <c r="J15" s="63">
        <f t="shared" si="4"/>
        <v>167</v>
      </c>
      <c r="K15" s="63">
        <f t="shared" si="4"/>
        <v>146</v>
      </c>
      <c r="L15" s="63">
        <f t="shared" si="4"/>
        <v>139</v>
      </c>
      <c r="M15" s="63">
        <f t="shared" si="4"/>
        <v>159</v>
      </c>
      <c r="N15" s="63">
        <f t="shared" si="4"/>
        <v>148</v>
      </c>
      <c r="O15" s="63">
        <f t="shared" si="4"/>
        <v>168</v>
      </c>
      <c r="P15" s="62">
        <f t="shared" si="2"/>
        <v>1782</v>
      </c>
      <c r="Q15" s="53"/>
      <c r="AA15" s="51"/>
      <c r="AE15" s="51"/>
      <c r="AF15" s="51"/>
      <c r="AG15" s="51"/>
      <c r="AH15" s="51"/>
      <c r="AI15" s="51"/>
      <c r="AM15" s="60" t="s">
        <v>11</v>
      </c>
      <c r="AN15" s="53">
        <v>21.333333333333332</v>
      </c>
      <c r="AO15" s="53" t="s">
        <v>109</v>
      </c>
      <c r="AP15" s="53">
        <v>27.18</v>
      </c>
    </row>
    <row r="16" spans="1:53" x14ac:dyDescent="0.3">
      <c r="A16" s="66"/>
      <c r="B16" s="76"/>
      <c r="C16" s="20" t="s">
        <v>32</v>
      </c>
      <c r="D16" s="53">
        <f>AVERAGE(D6:D14)</f>
        <v>15.555555555555555</v>
      </c>
      <c r="E16" s="53">
        <f t="shared" ref="E16:O16" si="5">AVERAGE(E6:E14)</f>
        <v>15.444444444444445</v>
      </c>
      <c r="F16" s="53">
        <f t="shared" si="5"/>
        <v>17.666666666666668</v>
      </c>
      <c r="G16" s="53">
        <f t="shared" si="5"/>
        <v>15.777777777777779</v>
      </c>
      <c r="H16" s="53">
        <f t="shared" si="5"/>
        <v>14.222222222222221</v>
      </c>
      <c r="I16" s="53">
        <f t="shared" si="5"/>
        <v>16.333333333333332</v>
      </c>
      <c r="J16" s="53">
        <f t="shared" si="5"/>
        <v>18.555555555555557</v>
      </c>
      <c r="K16" s="53">
        <f t="shared" si="5"/>
        <v>16.222222222222221</v>
      </c>
      <c r="L16" s="53">
        <f t="shared" si="5"/>
        <v>15.444444444444445</v>
      </c>
      <c r="M16" s="53">
        <f t="shared" si="5"/>
        <v>17.666666666666668</v>
      </c>
      <c r="N16" s="53">
        <f t="shared" si="5"/>
        <v>16.444444444444443</v>
      </c>
      <c r="O16" s="53">
        <f t="shared" si="5"/>
        <v>18.666666666666668</v>
      </c>
      <c r="P16" s="45"/>
      <c r="Q16" s="53"/>
      <c r="AA16" s="51"/>
      <c r="AE16" s="51"/>
      <c r="AF16" s="51"/>
      <c r="AG16" s="51"/>
      <c r="AH16" s="51"/>
      <c r="AI16" s="51"/>
      <c r="AM16" s="60" t="s">
        <v>10</v>
      </c>
      <c r="AN16" s="53">
        <v>21.833333333333332</v>
      </c>
      <c r="AO16" s="53" t="s">
        <v>110</v>
      </c>
      <c r="AP16" s="53">
        <v>27.68</v>
      </c>
    </row>
    <row r="17" spans="1:53" x14ac:dyDescent="0.3">
      <c r="Q17" s="51"/>
      <c r="AA17" s="51"/>
      <c r="AE17" s="51"/>
      <c r="AF17" s="51"/>
      <c r="AG17" s="51"/>
      <c r="AH17" s="51"/>
      <c r="AI17" s="51"/>
      <c r="AM17" s="60" t="s">
        <v>9</v>
      </c>
      <c r="AN17" s="53">
        <v>23.166666666666668</v>
      </c>
      <c r="AO17" s="53" t="s">
        <v>104</v>
      </c>
      <c r="AP17" s="53">
        <v>29.02</v>
      </c>
    </row>
    <row r="18" spans="1:53" x14ac:dyDescent="0.3">
      <c r="Q18" s="51"/>
      <c r="AA18" s="51"/>
      <c r="AE18" s="51"/>
      <c r="AF18" s="51"/>
      <c r="AG18" s="51"/>
      <c r="AH18" s="51"/>
      <c r="AI18" s="51"/>
      <c r="AM18" s="51"/>
      <c r="AN18" s="51"/>
      <c r="AO18" s="51"/>
      <c r="AP18" s="51"/>
      <c r="AS18" s="6" t="s">
        <v>97</v>
      </c>
    </row>
    <row r="19" spans="1:53" x14ac:dyDescent="0.3">
      <c r="A19" s="3" t="s">
        <v>18</v>
      </c>
      <c r="B19" s="3" t="s">
        <v>20</v>
      </c>
      <c r="C19" s="87" t="s">
        <v>0</v>
      </c>
      <c r="D19" s="69" t="s">
        <v>1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5" t="s">
        <v>33</v>
      </c>
      <c r="Q19" s="67" t="s">
        <v>32</v>
      </c>
      <c r="V19" s="65" t="s">
        <v>53</v>
      </c>
      <c r="W19" s="70" t="s">
        <v>54</v>
      </c>
      <c r="X19" s="71"/>
      <c r="Y19" s="72"/>
      <c r="Z19" s="65" t="s">
        <v>33</v>
      </c>
      <c r="AA19" s="67" t="s">
        <v>32</v>
      </c>
      <c r="AC19" s="65" t="s">
        <v>61</v>
      </c>
      <c r="AD19" s="65" t="s">
        <v>62</v>
      </c>
      <c r="AE19" s="67" t="s">
        <v>63</v>
      </c>
      <c r="AF19" s="67" t="s">
        <v>64</v>
      </c>
      <c r="AG19" s="67" t="s">
        <v>65</v>
      </c>
      <c r="AH19" s="64" t="s">
        <v>66</v>
      </c>
      <c r="AI19" s="64"/>
      <c r="AJ19" s="65" t="s">
        <v>67</v>
      </c>
      <c r="AK19" s="65" t="s">
        <v>68</v>
      </c>
      <c r="AM19" s="80" t="s">
        <v>80</v>
      </c>
      <c r="AN19" s="80"/>
      <c r="AO19" s="51"/>
      <c r="AP19" s="51"/>
      <c r="AS19" s="65" t="s">
        <v>61</v>
      </c>
      <c r="AT19" s="65" t="s">
        <v>62</v>
      </c>
      <c r="AU19" s="65" t="s">
        <v>63</v>
      </c>
      <c r="AV19" s="65" t="s">
        <v>64</v>
      </c>
      <c r="AW19" s="65" t="s">
        <v>65</v>
      </c>
      <c r="AX19" s="69" t="s">
        <v>66</v>
      </c>
      <c r="AY19" s="69"/>
      <c r="AZ19" s="65" t="s">
        <v>67</v>
      </c>
      <c r="BA19" s="65" t="s">
        <v>68</v>
      </c>
    </row>
    <row r="20" spans="1:53" x14ac:dyDescent="0.3">
      <c r="A20" s="65">
        <v>4</v>
      </c>
      <c r="B20" s="74" t="s">
        <v>37</v>
      </c>
      <c r="C20" s="87"/>
      <c r="D20" s="69" t="s">
        <v>2</v>
      </c>
      <c r="E20" s="69"/>
      <c r="F20" s="69"/>
      <c r="G20" s="69"/>
      <c r="H20" s="69" t="s">
        <v>7</v>
      </c>
      <c r="I20" s="69"/>
      <c r="J20" s="69"/>
      <c r="K20" s="69"/>
      <c r="L20" s="69" t="s">
        <v>8</v>
      </c>
      <c r="M20" s="69"/>
      <c r="N20" s="69"/>
      <c r="O20" s="69"/>
      <c r="P20" s="73"/>
      <c r="Q20" s="77"/>
      <c r="S20" s="6" t="s">
        <v>71</v>
      </c>
      <c r="T20" s="6">
        <v>12</v>
      </c>
      <c r="V20" s="66"/>
      <c r="W20" s="3" t="s">
        <v>55</v>
      </c>
      <c r="X20" s="3" t="s">
        <v>56</v>
      </c>
      <c r="Y20" s="3" t="s">
        <v>57</v>
      </c>
      <c r="Z20" s="66"/>
      <c r="AA20" s="68"/>
      <c r="AC20" s="66"/>
      <c r="AD20" s="66"/>
      <c r="AE20" s="68"/>
      <c r="AF20" s="68"/>
      <c r="AG20" s="68"/>
      <c r="AH20" s="59">
        <v>0.05</v>
      </c>
      <c r="AI20" s="59">
        <v>0.01</v>
      </c>
      <c r="AJ20" s="66"/>
      <c r="AK20" s="66"/>
      <c r="AM20" s="54" t="s">
        <v>74</v>
      </c>
      <c r="AN20" s="54">
        <f>SQRT(AF25/12)</f>
        <v>1.2064597107529256</v>
      </c>
      <c r="AO20" s="56"/>
      <c r="AP20" s="55" t="s">
        <v>85</v>
      </c>
      <c r="AS20" s="66"/>
      <c r="AT20" s="66"/>
      <c r="AU20" s="66"/>
      <c r="AV20" s="66"/>
      <c r="AW20" s="66"/>
      <c r="AX20" s="42">
        <v>0.05</v>
      </c>
      <c r="AY20" s="42">
        <v>0.01</v>
      </c>
      <c r="AZ20" s="66"/>
      <c r="BA20" s="66"/>
    </row>
    <row r="21" spans="1:53" ht="12" customHeight="1" x14ac:dyDescent="0.3">
      <c r="A21" s="73"/>
      <c r="B21" s="75"/>
      <c r="C21" s="87"/>
      <c r="D21" s="18" t="s">
        <v>3</v>
      </c>
      <c r="E21" s="18" t="s">
        <v>4</v>
      </c>
      <c r="F21" s="18" t="s">
        <v>5</v>
      </c>
      <c r="G21" s="18" t="s">
        <v>6</v>
      </c>
      <c r="H21" s="18" t="s">
        <v>3</v>
      </c>
      <c r="I21" s="18" t="s">
        <v>4</v>
      </c>
      <c r="J21" s="18" t="s">
        <v>5</v>
      </c>
      <c r="K21" s="18" t="s">
        <v>6</v>
      </c>
      <c r="L21" s="18" t="s">
        <v>3</v>
      </c>
      <c r="M21" s="18" t="s">
        <v>4</v>
      </c>
      <c r="N21" s="18" t="s">
        <v>5</v>
      </c>
      <c r="O21" s="18" t="s">
        <v>6</v>
      </c>
      <c r="P21" s="66"/>
      <c r="Q21" s="68"/>
      <c r="S21" s="6" t="s">
        <v>44</v>
      </c>
      <c r="T21" s="6">
        <v>3</v>
      </c>
      <c r="V21" s="3" t="s">
        <v>58</v>
      </c>
      <c r="W21" s="2">
        <f>SUM(D22:O22)</f>
        <v>239</v>
      </c>
      <c r="X21" s="2">
        <f>SUM(D23:O23)</f>
        <v>286</v>
      </c>
      <c r="Y21" s="2">
        <f>SUM(D24:O24)</f>
        <v>298</v>
      </c>
      <c r="Z21" s="2">
        <f>SUM(W21:Y21)</f>
        <v>823</v>
      </c>
      <c r="AA21" s="53">
        <f>AVERAGE(W21:Y21)</f>
        <v>274.33333333333331</v>
      </c>
      <c r="AC21" s="3" t="s">
        <v>43</v>
      </c>
      <c r="AD21" s="2">
        <f>12-1</f>
        <v>11</v>
      </c>
      <c r="AE21" s="53">
        <f>T25</f>
        <v>256.69444444444525</v>
      </c>
      <c r="AF21" s="53">
        <f>AE21/AD21</f>
        <v>23.335858585858659</v>
      </c>
      <c r="AG21" s="53">
        <f>AF21/AF25</f>
        <v>1.3360320959988483</v>
      </c>
      <c r="AH21" s="53">
        <f>FINV(AH20,AD21,AD25)</f>
        <v>1.8991710184693407</v>
      </c>
      <c r="AI21" s="53">
        <f>FINV(AI20,AD21,AD25)</f>
        <v>2.4560580535880434</v>
      </c>
      <c r="AJ21" s="30" t="s">
        <v>95</v>
      </c>
      <c r="AK21" s="2"/>
      <c r="AM21" s="53" t="s">
        <v>75</v>
      </c>
      <c r="AN21" s="54">
        <v>4.46</v>
      </c>
      <c r="AO21" s="51"/>
      <c r="AP21" s="51"/>
      <c r="AS21" s="3" t="s">
        <v>43</v>
      </c>
      <c r="AT21" s="2">
        <f>12-1</f>
        <v>11</v>
      </c>
      <c r="AU21" s="6">
        <f>SUMSQ(D31:O31)/(3*3)-AT30</f>
        <v>256.69444444444525</v>
      </c>
      <c r="AV21" s="53">
        <f>AU21/AT21</f>
        <v>23.335858585858659</v>
      </c>
      <c r="AW21" s="53">
        <f>AV21/AV26</f>
        <v>1.3360320959988483</v>
      </c>
      <c r="AX21" s="53">
        <f>FINV(AX20,AT21,AT26)</f>
        <v>1.8991710184693407</v>
      </c>
      <c r="AY21" s="53">
        <f>FINV(AY20,AT21,AT26)</f>
        <v>2.4560580535880434</v>
      </c>
      <c r="AZ21" s="2" t="str">
        <f>IF(AW21&gt;AY21,"**",IF(AW21&gt;AX21,"*","TN"))</f>
        <v>TN</v>
      </c>
      <c r="BA21" s="2" t="str">
        <f>IF(AZ21="TN","Tidak Nyata",IF(AZ21="*","Nyata",IF(AZ21="**","Sangat Nyata",0)))</f>
        <v>Tidak Nyata</v>
      </c>
    </row>
    <row r="22" spans="1:53" ht="14.5" customHeight="1" x14ac:dyDescent="0.3">
      <c r="A22" s="73"/>
      <c r="B22" s="75"/>
      <c r="C22" s="21" t="s">
        <v>9</v>
      </c>
      <c r="D22" s="1">
        <v>22</v>
      </c>
      <c r="E22" s="1">
        <v>15</v>
      </c>
      <c r="F22" s="1">
        <v>18</v>
      </c>
      <c r="G22" s="1">
        <v>20</v>
      </c>
      <c r="H22" s="1">
        <v>19</v>
      </c>
      <c r="I22" s="1">
        <v>28</v>
      </c>
      <c r="J22" s="1">
        <v>21</v>
      </c>
      <c r="K22" s="1">
        <v>22</v>
      </c>
      <c r="L22" s="1">
        <v>19</v>
      </c>
      <c r="M22" s="1">
        <v>23</v>
      </c>
      <c r="N22" s="1">
        <v>11</v>
      </c>
      <c r="O22" s="1">
        <v>21</v>
      </c>
      <c r="P22" s="22">
        <f>SUM(D22:O22)</f>
        <v>239</v>
      </c>
      <c r="Q22" s="53">
        <f>AVERAGE(D22:O22)</f>
        <v>19.916666666666668</v>
      </c>
      <c r="S22" s="6" t="s">
        <v>45</v>
      </c>
      <c r="T22" s="6">
        <v>3</v>
      </c>
      <c r="V22" s="3" t="s">
        <v>59</v>
      </c>
      <c r="W22" s="2">
        <f>SUM(D25:O25)</f>
        <v>153</v>
      </c>
      <c r="X22" s="2">
        <f>SUM(D26:O26)</f>
        <v>140</v>
      </c>
      <c r="Y22" s="2">
        <f>SUM(D27:O27)</f>
        <v>178</v>
      </c>
      <c r="Z22" s="35">
        <f>SUM(W22:Y22)</f>
        <v>471</v>
      </c>
      <c r="AA22" s="53">
        <f>AVERAGE(W22:Y22)</f>
        <v>157</v>
      </c>
      <c r="AC22" s="3" t="s">
        <v>45</v>
      </c>
      <c r="AD22" s="2">
        <f>3-1</f>
        <v>2</v>
      </c>
      <c r="AE22" s="53">
        <f>T26</f>
        <v>154.38888888888323</v>
      </c>
      <c r="AF22" s="53">
        <f>AE22/AD22</f>
        <v>77.194444444441615</v>
      </c>
      <c r="AG22" s="53">
        <f>AF22/AF25</f>
        <v>4.4195612101057424</v>
      </c>
      <c r="AH22" s="53">
        <f>FINV(AH20,AD22,AD25)</f>
        <v>3.1000686386371408</v>
      </c>
      <c r="AI22" s="53">
        <f>FINV(AI20,AD22,AD25)</f>
        <v>4.8547979993760721</v>
      </c>
      <c r="AJ22" s="30" t="s">
        <v>72</v>
      </c>
      <c r="AK22" s="2"/>
      <c r="AM22" s="53" t="s">
        <v>76</v>
      </c>
      <c r="AN22" s="54">
        <f>AN21*AN20</f>
        <v>5.380810309958048</v>
      </c>
      <c r="AO22" s="51"/>
      <c r="AP22" s="51"/>
      <c r="AS22" s="3" t="s">
        <v>98</v>
      </c>
      <c r="AT22" s="2">
        <f>3*3-1</f>
        <v>8</v>
      </c>
      <c r="AU22" s="53">
        <f>SUMSQ(P22:P30)/12-AT30</f>
        <v>2477.1666666666642</v>
      </c>
      <c r="AV22" s="53">
        <f t="shared" ref="AV22:AV26" si="6">AU22/AT22</f>
        <v>309.64583333333303</v>
      </c>
      <c r="AW22" s="53">
        <f>AV22/AV26</f>
        <v>17.727943036830876</v>
      </c>
      <c r="AX22" s="53">
        <f>FINV(AX20,AT22,AT26)</f>
        <v>2.0454143150341193</v>
      </c>
      <c r="AY22" s="53">
        <f>FINV(AY20,AT22,AT26)</f>
        <v>2.720181875728696</v>
      </c>
      <c r="AZ22" s="2" t="str">
        <f>IF(AW22&gt;AY22,"**",IF(AW22&gt;AX22,"*","TN"))</f>
        <v>**</v>
      </c>
      <c r="BA22" s="2" t="str">
        <f t="shared" ref="BA22:BA25" si="7">IF(AZ22="TN","Tidak Nyata",IF(AZ22="*","Nyata",IF(AZ22="**","Sangat Nyata",0)))</f>
        <v>Sangat Nyata</v>
      </c>
    </row>
    <row r="23" spans="1:53" x14ac:dyDescent="0.3">
      <c r="A23" s="73"/>
      <c r="B23" s="75"/>
      <c r="C23" s="21" t="s">
        <v>10</v>
      </c>
      <c r="D23" s="2">
        <v>23</v>
      </c>
      <c r="E23" s="2">
        <v>20</v>
      </c>
      <c r="F23" s="2">
        <v>24</v>
      </c>
      <c r="G23" s="2">
        <v>23</v>
      </c>
      <c r="H23" s="2">
        <v>20</v>
      </c>
      <c r="I23" s="2">
        <v>26</v>
      </c>
      <c r="J23" s="2">
        <v>24</v>
      </c>
      <c r="K23" s="2">
        <v>25</v>
      </c>
      <c r="L23" s="2">
        <v>22</v>
      </c>
      <c r="M23" s="2">
        <v>25</v>
      </c>
      <c r="N23" s="2">
        <v>26</v>
      </c>
      <c r="O23" s="2">
        <v>28</v>
      </c>
      <c r="P23" s="22">
        <f t="shared" ref="P23:P30" si="8">SUM(D23:O23)</f>
        <v>286</v>
      </c>
      <c r="Q23" s="53">
        <f t="shared" ref="Q23:Q30" si="9">AVERAGE(D23:O23)</f>
        <v>23.833333333333332</v>
      </c>
      <c r="S23" s="6" t="s">
        <v>46</v>
      </c>
      <c r="T23" s="51">
        <f>(P31^2)/(12*3*3)</f>
        <v>40950.083333333336</v>
      </c>
      <c r="V23" s="3" t="s">
        <v>60</v>
      </c>
      <c r="W23" s="2">
        <f>SUM(D28:O28)</f>
        <v>252</v>
      </c>
      <c r="X23" s="2">
        <f>SUM(D29:O29)</f>
        <v>285</v>
      </c>
      <c r="Y23" s="2">
        <f>SUM(D30:O30)</f>
        <v>272</v>
      </c>
      <c r="Z23" s="2">
        <f>SUM(W23:Y23)</f>
        <v>809</v>
      </c>
      <c r="AA23" s="53">
        <f>AVERAGE(W23:Y23)</f>
        <v>269.66666666666669</v>
      </c>
      <c r="AC23" s="3" t="s">
        <v>44</v>
      </c>
      <c r="AD23" s="2">
        <f>3-1</f>
        <v>2</v>
      </c>
      <c r="AE23" s="53">
        <f>T27</f>
        <v>2206.8888888888832</v>
      </c>
      <c r="AF23" s="53">
        <f>AE23/AD23</f>
        <v>1103.4444444444416</v>
      </c>
      <c r="AG23" s="53">
        <f>AF23/AF25</f>
        <v>63.174756930639262</v>
      </c>
      <c r="AH23" s="53">
        <f>FINV(AH20,AD23,AD25)</f>
        <v>3.1000686386371408</v>
      </c>
      <c r="AI23" s="53">
        <f>FINV(AI20,AD23,AD25)</f>
        <v>4.8547979993760721</v>
      </c>
      <c r="AJ23" s="30" t="s">
        <v>72</v>
      </c>
      <c r="AK23" s="2"/>
      <c r="AM23" s="51"/>
      <c r="AN23" s="51"/>
      <c r="AO23" s="51"/>
      <c r="AP23" s="51"/>
      <c r="AS23" s="3" t="s">
        <v>45</v>
      </c>
      <c r="AT23" s="2">
        <f>3-1</f>
        <v>2</v>
      </c>
      <c r="AU23" s="53">
        <f>SUMSQ(W24:Y24)/(3*12)-AT30</f>
        <v>154.38888888888323</v>
      </c>
      <c r="AV23" s="53">
        <f t="shared" si="6"/>
        <v>77.194444444441615</v>
      </c>
      <c r="AW23" s="53">
        <f>AV23/AV26</f>
        <v>4.4195612101057424</v>
      </c>
      <c r="AX23" s="53">
        <f>FINV(AX20,AT23,AT26)</f>
        <v>3.1000686386371408</v>
      </c>
      <c r="AY23" s="53">
        <f>FINV(AY20,AT23,AT26)</f>
        <v>4.8547979993760721</v>
      </c>
      <c r="AZ23" s="2" t="str">
        <f>IF(AW23&gt;AY23,"**",IF(AW23&gt;AX23,"*","TN"))</f>
        <v>*</v>
      </c>
      <c r="BA23" s="2" t="str">
        <f t="shared" si="7"/>
        <v>Nyata</v>
      </c>
    </row>
    <row r="24" spans="1:53" x14ac:dyDescent="0.3">
      <c r="A24" s="73"/>
      <c r="B24" s="75"/>
      <c r="C24" s="21" t="s">
        <v>11</v>
      </c>
      <c r="D24" s="2">
        <v>23</v>
      </c>
      <c r="E24" s="2">
        <v>25</v>
      </c>
      <c r="F24" s="2">
        <v>25</v>
      </c>
      <c r="G24" s="2">
        <v>25</v>
      </c>
      <c r="H24" s="2">
        <v>24</v>
      </c>
      <c r="I24" s="2">
        <v>25</v>
      </c>
      <c r="J24" s="2">
        <v>26</v>
      </c>
      <c r="K24" s="2">
        <v>24</v>
      </c>
      <c r="L24" s="2">
        <v>26</v>
      </c>
      <c r="M24" s="2">
        <v>24</v>
      </c>
      <c r="N24" s="2">
        <v>25</v>
      </c>
      <c r="O24" s="2">
        <v>26</v>
      </c>
      <c r="P24" s="22">
        <f t="shared" si="8"/>
        <v>298</v>
      </c>
      <c r="Q24" s="53">
        <f t="shared" si="9"/>
        <v>24.833333333333332</v>
      </c>
      <c r="S24" s="6" t="s">
        <v>47</v>
      </c>
      <c r="T24" s="51">
        <f>SUMSQ(D22:O30)-T23</f>
        <v>4270.9166666666642</v>
      </c>
      <c r="V24" s="3" t="s">
        <v>33</v>
      </c>
      <c r="W24" s="2">
        <f>SUM(W21:W23)</f>
        <v>644</v>
      </c>
      <c r="X24" s="2">
        <f>SUM(X21:X23)</f>
        <v>711</v>
      </c>
      <c r="Y24" s="2">
        <f>SUM(Y21:Y23)</f>
        <v>748</v>
      </c>
      <c r="Z24" s="2">
        <f>SUM(W24:Y24)</f>
        <v>2103</v>
      </c>
      <c r="AA24" s="53">
        <f>AVERAGE(W24:Y24)</f>
        <v>701</v>
      </c>
      <c r="AC24" s="3" t="s">
        <v>69</v>
      </c>
      <c r="AD24" s="2">
        <f>(3-1)*(3-1)</f>
        <v>4</v>
      </c>
      <c r="AE24" s="53">
        <f>T28</f>
        <v>115.88888888889778</v>
      </c>
      <c r="AF24" s="53">
        <f>AE24/AD24</f>
        <v>28.972222222224445</v>
      </c>
      <c r="AG24" s="53">
        <f>AF24/AF25</f>
        <v>1.6587270032892452</v>
      </c>
      <c r="AH24" s="53">
        <f>FINV(AH20,AD24,AD25)</f>
        <v>2.4752774088696223</v>
      </c>
      <c r="AI24" s="53">
        <f>FINV(AI20,AD24,AD25)</f>
        <v>3.5400845421240663</v>
      </c>
      <c r="AJ24" s="30" t="s">
        <v>95</v>
      </c>
      <c r="AK24" s="2"/>
      <c r="AM24" s="54" t="s">
        <v>0</v>
      </c>
      <c r="AN24" s="54" t="s">
        <v>32</v>
      </c>
      <c r="AO24" s="54" t="s">
        <v>67</v>
      </c>
      <c r="AP24" s="54" t="s">
        <v>77</v>
      </c>
      <c r="AS24" s="3" t="s">
        <v>44</v>
      </c>
      <c r="AT24" s="2">
        <f>3-1</f>
        <v>2</v>
      </c>
      <c r="AU24" s="53">
        <f>SUMSQ(Z21:Z23)/(3*12)-AT30</f>
        <v>2206.8888888888832</v>
      </c>
      <c r="AV24" s="53">
        <f t="shared" si="6"/>
        <v>1103.4444444444416</v>
      </c>
      <c r="AW24" s="53">
        <f>AV24/AV26</f>
        <v>63.174756930639262</v>
      </c>
      <c r="AX24" s="53">
        <f>FINV(AX20,AT24,AT26)</f>
        <v>3.1000686386371408</v>
      </c>
      <c r="AY24" s="53">
        <f>FINV(AY20,AT24,AT26)</f>
        <v>4.8547979993760721</v>
      </c>
      <c r="AZ24" s="2" t="str">
        <f>IF(AW24&gt;AY24,"**",IF(AW24&gt;AX24,"*","TN"))</f>
        <v>**</v>
      </c>
      <c r="BA24" s="2" t="str">
        <f t="shared" si="7"/>
        <v>Sangat Nyata</v>
      </c>
    </row>
    <row r="25" spans="1:53" ht="15.5" x14ac:dyDescent="0.3">
      <c r="A25" s="73"/>
      <c r="B25" s="75"/>
      <c r="C25" s="21" t="s">
        <v>12</v>
      </c>
      <c r="D25" s="1">
        <v>11</v>
      </c>
      <c r="E25" s="1">
        <v>5</v>
      </c>
      <c r="F25" s="1">
        <v>12</v>
      </c>
      <c r="G25" s="1">
        <v>19</v>
      </c>
      <c r="H25" s="1">
        <v>18</v>
      </c>
      <c r="I25" s="1">
        <v>14</v>
      </c>
      <c r="J25" s="1">
        <v>16</v>
      </c>
      <c r="K25" s="1">
        <v>13</v>
      </c>
      <c r="L25" s="1">
        <v>11</v>
      </c>
      <c r="M25" s="1">
        <v>13</v>
      </c>
      <c r="N25" s="1">
        <v>12</v>
      </c>
      <c r="O25" s="1">
        <v>9</v>
      </c>
      <c r="P25" s="22">
        <f t="shared" si="8"/>
        <v>153</v>
      </c>
      <c r="Q25" s="53">
        <f t="shared" si="9"/>
        <v>12.75</v>
      </c>
      <c r="S25" s="6" t="s">
        <v>48</v>
      </c>
      <c r="T25" s="51">
        <f>(SUMSQ(D31:O31)/(3*3))-T23</f>
        <v>256.69444444444525</v>
      </c>
      <c r="V25" s="3" t="s">
        <v>32</v>
      </c>
      <c r="W25" s="53">
        <f>AVERAGE(W21:W23)</f>
        <v>214.66666666666666</v>
      </c>
      <c r="X25" s="53">
        <f>AVERAGE(X21:X23)</f>
        <v>237</v>
      </c>
      <c r="Y25" s="53">
        <f>AVERAGE(Y21:Y23)</f>
        <v>249.33333333333334</v>
      </c>
      <c r="Z25" s="2"/>
      <c r="AA25" s="53"/>
      <c r="AC25" s="3" t="s">
        <v>70</v>
      </c>
      <c r="AD25" s="2">
        <f>((3*3)-1)*(12-1)</f>
        <v>88</v>
      </c>
      <c r="AE25" s="53">
        <f>T29</f>
        <v>1537.0555555555547</v>
      </c>
      <c r="AF25" s="53">
        <f>AE25/AD25</f>
        <v>17.466540404040394</v>
      </c>
      <c r="AG25" s="53"/>
      <c r="AH25" s="53"/>
      <c r="AI25" s="53"/>
      <c r="AJ25" s="2"/>
      <c r="AK25" s="2"/>
      <c r="AM25" s="60" t="s">
        <v>13</v>
      </c>
      <c r="AN25" s="53">
        <v>11.666666666666666</v>
      </c>
      <c r="AO25" s="53" t="s">
        <v>93</v>
      </c>
      <c r="AP25" s="53">
        <f>AN25+AN22</f>
        <v>17.047476976624715</v>
      </c>
      <c r="AS25" s="3" t="s">
        <v>69</v>
      </c>
      <c r="AT25" s="2">
        <f>AT23*AT24</f>
        <v>4</v>
      </c>
      <c r="AU25" s="53">
        <f>AU22-AU23-AU24</f>
        <v>115.88888888889778</v>
      </c>
      <c r="AV25" s="53">
        <f t="shared" si="6"/>
        <v>28.972222222224445</v>
      </c>
      <c r="AW25" s="53">
        <f>AV25/AV26</f>
        <v>1.6587270032892452</v>
      </c>
      <c r="AX25" s="53">
        <f>FINV(AX20,AT25,AT26)</f>
        <v>2.4752774088696223</v>
      </c>
      <c r="AY25" s="53">
        <f>FINV(AY20,AT25,AT26)</f>
        <v>3.5400845421240663</v>
      </c>
      <c r="AZ25" s="2" t="str">
        <f>IF(AW25&gt;AY25,"**",IF(AW25&gt;AX25,"*","TN"))</f>
        <v>TN</v>
      </c>
      <c r="BA25" s="2" t="str">
        <f t="shared" si="7"/>
        <v>Tidak Nyata</v>
      </c>
    </row>
    <row r="26" spans="1:53" ht="15.5" x14ac:dyDescent="0.3">
      <c r="A26" s="73"/>
      <c r="B26" s="75"/>
      <c r="C26" s="21" t="s">
        <v>13</v>
      </c>
      <c r="D26" s="1">
        <v>11</v>
      </c>
      <c r="E26" s="1">
        <v>13</v>
      </c>
      <c r="F26" s="1">
        <v>10</v>
      </c>
      <c r="G26" s="1">
        <v>5</v>
      </c>
      <c r="H26" s="1">
        <v>12</v>
      </c>
      <c r="I26" s="1">
        <v>13</v>
      </c>
      <c r="J26" s="1">
        <v>13</v>
      </c>
      <c r="K26" s="1">
        <v>17</v>
      </c>
      <c r="L26" s="1">
        <v>12</v>
      </c>
      <c r="M26" s="1">
        <v>13</v>
      </c>
      <c r="N26" s="1">
        <v>10</v>
      </c>
      <c r="O26" s="1">
        <v>11</v>
      </c>
      <c r="P26" s="22">
        <f t="shared" si="8"/>
        <v>140</v>
      </c>
      <c r="Q26" s="53">
        <f t="shared" si="9"/>
        <v>11.666666666666666</v>
      </c>
      <c r="S26" s="6" t="s">
        <v>50</v>
      </c>
      <c r="T26" s="51">
        <f>(SUMSQ(W24:Y24)/(12*3))-T23</f>
        <v>154.38888888888323</v>
      </c>
      <c r="AA26" s="51"/>
      <c r="AC26" s="3" t="s">
        <v>33</v>
      </c>
      <c r="AD26" s="2">
        <f>(3*3*12)-1</f>
        <v>107</v>
      </c>
      <c r="AE26" s="53">
        <f>T24</f>
        <v>4270.9166666666642</v>
      </c>
      <c r="AF26" s="53"/>
      <c r="AG26" s="53"/>
      <c r="AH26" s="53"/>
      <c r="AI26" s="53"/>
      <c r="AJ26" s="2"/>
      <c r="AK26" s="2"/>
      <c r="AM26" s="60" t="s">
        <v>12</v>
      </c>
      <c r="AN26" s="53">
        <v>12.75</v>
      </c>
      <c r="AO26" s="53" t="s">
        <v>93</v>
      </c>
      <c r="AP26" s="53">
        <f>AN26+AN22</f>
        <v>18.130810309958047</v>
      </c>
      <c r="AS26" s="3" t="s">
        <v>70</v>
      </c>
      <c r="AT26" s="2">
        <f>AT27-AT21-AT22</f>
        <v>88</v>
      </c>
      <c r="AU26" s="53">
        <f>AU27-AU21-AU22</f>
        <v>1537.0555555555547</v>
      </c>
      <c r="AV26" s="53">
        <f t="shared" si="6"/>
        <v>17.466540404040394</v>
      </c>
      <c r="AW26" s="53"/>
      <c r="AX26" s="53"/>
      <c r="AY26" s="53"/>
      <c r="AZ26" s="2"/>
      <c r="BA26" s="2"/>
    </row>
    <row r="27" spans="1:53" ht="15.5" x14ac:dyDescent="0.3">
      <c r="A27" s="73"/>
      <c r="B27" s="75"/>
      <c r="C27" s="21" t="s">
        <v>14</v>
      </c>
      <c r="D27" s="1">
        <v>9</v>
      </c>
      <c r="E27" s="1">
        <v>10</v>
      </c>
      <c r="F27" s="1">
        <v>18</v>
      </c>
      <c r="G27" s="1">
        <v>19</v>
      </c>
      <c r="H27" s="1">
        <v>11</v>
      </c>
      <c r="I27" s="1">
        <v>24</v>
      </c>
      <c r="J27" s="1">
        <v>13</v>
      </c>
      <c r="K27" s="1">
        <v>12</v>
      </c>
      <c r="L27" s="1">
        <v>18</v>
      </c>
      <c r="M27" s="1">
        <v>15</v>
      </c>
      <c r="N27" s="1">
        <v>14</v>
      </c>
      <c r="O27" s="1">
        <v>15</v>
      </c>
      <c r="P27" s="22">
        <f t="shared" si="8"/>
        <v>178</v>
      </c>
      <c r="Q27" s="53">
        <f t="shared" si="9"/>
        <v>14.833333333333334</v>
      </c>
      <c r="S27" s="6" t="s">
        <v>49</v>
      </c>
      <c r="T27" s="51">
        <f>(SUMSQ(Z21:Z23)/(12*3))-T23</f>
        <v>2206.8888888888832</v>
      </c>
      <c r="AA27" s="51"/>
      <c r="AE27" s="51"/>
      <c r="AF27" s="51"/>
      <c r="AG27" s="51"/>
      <c r="AH27" s="51"/>
      <c r="AI27" s="51"/>
      <c r="AM27" s="60" t="s">
        <v>14</v>
      </c>
      <c r="AN27" s="53">
        <v>14.833333333333334</v>
      </c>
      <c r="AO27" s="53" t="s">
        <v>99</v>
      </c>
      <c r="AP27" s="53">
        <f>AN27+AN22</f>
        <v>20.214143643291383</v>
      </c>
      <c r="AS27" s="3" t="s">
        <v>33</v>
      </c>
      <c r="AT27" s="2">
        <f>(3*3*12)-1</f>
        <v>107</v>
      </c>
      <c r="AU27" s="53">
        <f>SUMSQ(D22:O30)-AT30</f>
        <v>4270.9166666666642</v>
      </c>
      <c r="AV27" s="53"/>
      <c r="AW27" s="53"/>
      <c r="AX27" s="53"/>
      <c r="AY27" s="53"/>
      <c r="AZ27" s="2"/>
      <c r="BA27" s="2"/>
    </row>
    <row r="28" spans="1:53" ht="15.5" x14ac:dyDescent="0.3">
      <c r="A28" s="73"/>
      <c r="B28" s="75"/>
      <c r="C28" s="21" t="s">
        <v>15</v>
      </c>
      <c r="D28" s="1">
        <v>16</v>
      </c>
      <c r="E28" s="1">
        <v>25</v>
      </c>
      <c r="F28" s="1">
        <v>22</v>
      </c>
      <c r="G28" s="1">
        <v>19</v>
      </c>
      <c r="H28" s="1">
        <v>10</v>
      </c>
      <c r="I28" s="1">
        <v>24</v>
      </c>
      <c r="J28" s="1">
        <v>26</v>
      </c>
      <c r="K28" s="1">
        <v>27</v>
      </c>
      <c r="L28" s="1">
        <v>23</v>
      </c>
      <c r="M28" s="1">
        <v>24</v>
      </c>
      <c r="N28" s="1">
        <v>17</v>
      </c>
      <c r="O28" s="1">
        <v>19</v>
      </c>
      <c r="P28" s="22">
        <f t="shared" si="8"/>
        <v>252</v>
      </c>
      <c r="Q28" s="53">
        <f t="shared" si="9"/>
        <v>21</v>
      </c>
      <c r="S28" s="6" t="s">
        <v>51</v>
      </c>
      <c r="T28" s="51">
        <f>(SUMSQ(W21:Y23)/(12))-T23-T26-T27</f>
        <v>115.88888888889778</v>
      </c>
      <c r="AA28" s="51"/>
      <c r="AE28" s="51"/>
      <c r="AF28" s="51"/>
      <c r="AG28" s="51"/>
      <c r="AH28" s="51"/>
      <c r="AI28" s="51"/>
      <c r="AM28" s="60" t="s">
        <v>9</v>
      </c>
      <c r="AN28" s="53">
        <v>19.916666666666668</v>
      </c>
      <c r="AO28" s="53" t="s">
        <v>101</v>
      </c>
      <c r="AP28" s="53">
        <f>AN28+AN22</f>
        <v>25.297476976624715</v>
      </c>
    </row>
    <row r="29" spans="1:53" ht="15.5" x14ac:dyDescent="0.3">
      <c r="A29" s="73"/>
      <c r="B29" s="75"/>
      <c r="C29" s="21" t="s">
        <v>16</v>
      </c>
      <c r="D29" s="1">
        <v>28</v>
      </c>
      <c r="E29" s="1">
        <v>20</v>
      </c>
      <c r="F29" s="1">
        <v>23</v>
      </c>
      <c r="G29" s="1">
        <v>25</v>
      </c>
      <c r="H29" s="1">
        <v>10</v>
      </c>
      <c r="I29" s="1">
        <v>15</v>
      </c>
      <c r="J29" s="1">
        <v>29</v>
      </c>
      <c r="K29" s="1">
        <v>27</v>
      </c>
      <c r="L29" s="1">
        <v>29</v>
      </c>
      <c r="M29" s="1">
        <v>17</v>
      </c>
      <c r="N29" s="1">
        <v>32</v>
      </c>
      <c r="O29" s="1">
        <v>30</v>
      </c>
      <c r="P29" s="22">
        <f t="shared" si="8"/>
        <v>285</v>
      </c>
      <c r="Q29" s="53">
        <f t="shared" si="9"/>
        <v>23.75</v>
      </c>
      <c r="S29" s="6" t="s">
        <v>52</v>
      </c>
      <c r="T29" s="51">
        <f>T24-T25-T26-T27-T28</f>
        <v>1537.0555555555547</v>
      </c>
      <c r="AA29" s="51"/>
      <c r="AE29" s="51"/>
      <c r="AF29" s="51"/>
      <c r="AG29" s="51"/>
      <c r="AH29" s="51"/>
      <c r="AI29" s="51"/>
      <c r="AM29" s="60" t="s">
        <v>15</v>
      </c>
      <c r="AN29" s="53">
        <v>21</v>
      </c>
      <c r="AO29" s="53" t="s">
        <v>102</v>
      </c>
      <c r="AP29" s="53">
        <f>AN29+AN22</f>
        <v>26.380810309958047</v>
      </c>
    </row>
    <row r="30" spans="1:53" ht="15.5" x14ac:dyDescent="0.3">
      <c r="A30" s="73"/>
      <c r="B30" s="75"/>
      <c r="C30" s="21" t="s">
        <v>17</v>
      </c>
      <c r="D30" s="1">
        <v>17</v>
      </c>
      <c r="E30" s="1">
        <v>21</v>
      </c>
      <c r="F30" s="1">
        <v>34</v>
      </c>
      <c r="G30" s="1">
        <v>25</v>
      </c>
      <c r="H30" s="1">
        <v>23</v>
      </c>
      <c r="I30" s="1">
        <v>20</v>
      </c>
      <c r="J30" s="1">
        <v>20</v>
      </c>
      <c r="K30" s="1">
        <v>22</v>
      </c>
      <c r="L30" s="1">
        <v>24</v>
      </c>
      <c r="M30" s="1">
        <v>15</v>
      </c>
      <c r="N30" s="1">
        <v>29</v>
      </c>
      <c r="O30" s="1">
        <v>22</v>
      </c>
      <c r="P30" s="22">
        <f t="shared" si="8"/>
        <v>272</v>
      </c>
      <c r="Q30" s="53">
        <f t="shared" si="9"/>
        <v>22.666666666666668</v>
      </c>
      <c r="AA30" s="51"/>
      <c r="AE30" s="51"/>
      <c r="AF30" s="51"/>
      <c r="AG30" s="51"/>
      <c r="AH30" s="51"/>
      <c r="AI30" s="51"/>
      <c r="AM30" s="60" t="s">
        <v>17</v>
      </c>
      <c r="AN30" s="53">
        <v>22.666666666666668</v>
      </c>
      <c r="AO30" s="53" t="s">
        <v>102</v>
      </c>
      <c r="AP30" s="53">
        <f>AN30+AN22</f>
        <v>28.047476976624715</v>
      </c>
      <c r="AS30" s="2" t="s">
        <v>46</v>
      </c>
      <c r="AT30" s="53">
        <f>P31^2/(3*3*12)</f>
        <v>40950.083333333336</v>
      </c>
    </row>
    <row r="31" spans="1:53" x14ac:dyDescent="0.3">
      <c r="A31" s="73"/>
      <c r="B31" s="75"/>
      <c r="C31" s="20" t="s">
        <v>33</v>
      </c>
      <c r="D31" s="23">
        <f>SUM(D22:D30)</f>
        <v>160</v>
      </c>
      <c r="E31" s="23">
        <f t="shared" ref="E31:O31" si="10">SUM(E22:E30)</f>
        <v>154</v>
      </c>
      <c r="F31" s="23">
        <f t="shared" si="10"/>
        <v>186</v>
      </c>
      <c r="G31" s="23">
        <f t="shared" si="10"/>
        <v>180</v>
      </c>
      <c r="H31" s="23">
        <f t="shared" si="10"/>
        <v>147</v>
      </c>
      <c r="I31" s="23">
        <f t="shared" si="10"/>
        <v>189</v>
      </c>
      <c r="J31" s="23">
        <f t="shared" si="10"/>
        <v>188</v>
      </c>
      <c r="K31" s="23">
        <f t="shared" si="10"/>
        <v>189</v>
      </c>
      <c r="L31" s="23">
        <f t="shared" si="10"/>
        <v>184</v>
      </c>
      <c r="M31" s="23">
        <f t="shared" si="10"/>
        <v>169</v>
      </c>
      <c r="N31" s="23">
        <f t="shared" si="10"/>
        <v>176</v>
      </c>
      <c r="O31" s="23">
        <f t="shared" si="10"/>
        <v>181</v>
      </c>
      <c r="P31" s="22">
        <f>SUM(D31:O31)</f>
        <v>2103</v>
      </c>
      <c r="Q31" s="53"/>
      <c r="AA31" s="51"/>
      <c r="AE31" s="51"/>
      <c r="AF31" s="51"/>
      <c r="AG31" s="51"/>
      <c r="AH31" s="51"/>
      <c r="AI31" s="51"/>
      <c r="AM31" s="60" t="s">
        <v>16</v>
      </c>
      <c r="AN31" s="53">
        <v>23.75</v>
      </c>
      <c r="AO31" s="53" t="s">
        <v>102</v>
      </c>
      <c r="AP31" s="53">
        <f>AN31+AN22</f>
        <v>29.130810309958047</v>
      </c>
    </row>
    <row r="32" spans="1:53" x14ac:dyDescent="0.3">
      <c r="A32" s="66"/>
      <c r="B32" s="76"/>
      <c r="C32" s="20" t="s">
        <v>32</v>
      </c>
      <c r="D32" s="53">
        <f>AVERAGE(D22:D30)</f>
        <v>17.777777777777779</v>
      </c>
      <c r="E32" s="53">
        <f t="shared" ref="E32:O32" si="11">AVERAGE(E22:E30)</f>
        <v>17.111111111111111</v>
      </c>
      <c r="F32" s="53">
        <f t="shared" si="11"/>
        <v>20.666666666666668</v>
      </c>
      <c r="G32" s="53">
        <f t="shared" si="11"/>
        <v>20</v>
      </c>
      <c r="H32" s="53">
        <f t="shared" si="11"/>
        <v>16.333333333333332</v>
      </c>
      <c r="I32" s="53">
        <f t="shared" si="11"/>
        <v>21</v>
      </c>
      <c r="J32" s="53">
        <f t="shared" si="11"/>
        <v>20.888888888888889</v>
      </c>
      <c r="K32" s="53">
        <f t="shared" si="11"/>
        <v>21</v>
      </c>
      <c r="L32" s="53">
        <f t="shared" si="11"/>
        <v>20.444444444444443</v>
      </c>
      <c r="M32" s="53">
        <f t="shared" si="11"/>
        <v>18.777777777777779</v>
      </c>
      <c r="N32" s="53">
        <f t="shared" si="11"/>
        <v>19.555555555555557</v>
      </c>
      <c r="O32" s="53">
        <f t="shared" si="11"/>
        <v>20.111111111111111</v>
      </c>
      <c r="P32" s="2"/>
      <c r="Q32" s="53"/>
      <c r="AA32" s="51"/>
      <c r="AE32" s="51"/>
      <c r="AF32" s="51"/>
      <c r="AG32" s="51"/>
      <c r="AH32" s="51"/>
      <c r="AI32" s="51"/>
      <c r="AM32" s="60" t="s">
        <v>10</v>
      </c>
      <c r="AN32" s="53">
        <v>23.833333333333332</v>
      </c>
      <c r="AO32" s="53" t="s">
        <v>102</v>
      </c>
      <c r="AP32" s="53">
        <f>AN32+AN22</f>
        <v>29.214143643291379</v>
      </c>
    </row>
    <row r="33" spans="1:53" x14ac:dyDescent="0.3">
      <c r="Q33" s="51"/>
      <c r="AA33" s="51"/>
      <c r="AE33" s="51"/>
      <c r="AF33" s="51"/>
      <c r="AG33" s="51"/>
      <c r="AH33" s="51"/>
      <c r="AI33" s="51"/>
      <c r="AM33" s="60" t="s">
        <v>11</v>
      </c>
      <c r="AN33" s="53">
        <v>24.833333333333332</v>
      </c>
      <c r="AO33" s="53" t="s">
        <v>102</v>
      </c>
      <c r="AP33" s="53">
        <f>AN33+AN22</f>
        <v>30.214143643291379</v>
      </c>
    </row>
    <row r="34" spans="1:53" x14ac:dyDescent="0.3">
      <c r="Q34" s="51"/>
      <c r="AA34" s="51"/>
      <c r="AE34" s="51"/>
      <c r="AF34" s="51"/>
      <c r="AG34" s="51"/>
      <c r="AH34" s="51"/>
      <c r="AI34" s="51"/>
      <c r="AM34" s="51"/>
      <c r="AN34" s="51"/>
      <c r="AO34" s="51"/>
      <c r="AP34" s="51"/>
      <c r="AS34" s="6" t="s">
        <v>97</v>
      </c>
    </row>
    <row r="35" spans="1:53" x14ac:dyDescent="0.3">
      <c r="A35" s="3" t="s">
        <v>18</v>
      </c>
      <c r="B35" s="3" t="s">
        <v>20</v>
      </c>
      <c r="C35" s="87" t="s">
        <v>0</v>
      </c>
      <c r="D35" s="69" t="s">
        <v>1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5" t="s">
        <v>33</v>
      </c>
      <c r="Q35" s="67" t="s">
        <v>32</v>
      </c>
      <c r="V35" s="65" t="s">
        <v>53</v>
      </c>
      <c r="W35" s="70" t="s">
        <v>54</v>
      </c>
      <c r="X35" s="71"/>
      <c r="Y35" s="72"/>
      <c r="Z35" s="65" t="s">
        <v>33</v>
      </c>
      <c r="AA35" s="67" t="s">
        <v>32</v>
      </c>
      <c r="AC35" s="65" t="s">
        <v>61</v>
      </c>
      <c r="AD35" s="65" t="s">
        <v>62</v>
      </c>
      <c r="AE35" s="67" t="s">
        <v>63</v>
      </c>
      <c r="AF35" s="67" t="s">
        <v>64</v>
      </c>
      <c r="AG35" s="67" t="s">
        <v>65</v>
      </c>
      <c r="AH35" s="64" t="s">
        <v>66</v>
      </c>
      <c r="AI35" s="64"/>
      <c r="AJ35" s="65" t="s">
        <v>67</v>
      </c>
      <c r="AK35" s="65" t="s">
        <v>68</v>
      </c>
      <c r="AM35" s="80" t="s">
        <v>80</v>
      </c>
      <c r="AN35" s="80"/>
      <c r="AO35" s="51"/>
      <c r="AP35" s="51"/>
      <c r="AS35" s="65" t="s">
        <v>61</v>
      </c>
      <c r="AT35" s="65" t="s">
        <v>62</v>
      </c>
      <c r="AU35" s="65" t="s">
        <v>63</v>
      </c>
      <c r="AV35" s="65" t="s">
        <v>64</v>
      </c>
      <c r="AW35" s="65" t="s">
        <v>65</v>
      </c>
      <c r="AX35" s="69" t="s">
        <v>66</v>
      </c>
      <c r="AY35" s="69"/>
      <c r="AZ35" s="65" t="s">
        <v>67</v>
      </c>
      <c r="BA35" s="65" t="s">
        <v>68</v>
      </c>
    </row>
    <row r="36" spans="1:53" x14ac:dyDescent="0.3">
      <c r="A36" s="65">
        <v>5</v>
      </c>
      <c r="B36" s="74" t="s">
        <v>38</v>
      </c>
      <c r="C36" s="87"/>
      <c r="D36" s="69" t="s">
        <v>2</v>
      </c>
      <c r="E36" s="69"/>
      <c r="F36" s="69"/>
      <c r="G36" s="69"/>
      <c r="H36" s="69" t="s">
        <v>7</v>
      </c>
      <c r="I36" s="69"/>
      <c r="J36" s="69"/>
      <c r="K36" s="69"/>
      <c r="L36" s="69" t="s">
        <v>8</v>
      </c>
      <c r="M36" s="69"/>
      <c r="N36" s="69"/>
      <c r="O36" s="69"/>
      <c r="P36" s="73"/>
      <c r="Q36" s="77"/>
      <c r="S36" s="6" t="s">
        <v>71</v>
      </c>
      <c r="T36" s="6">
        <v>12</v>
      </c>
      <c r="V36" s="66"/>
      <c r="W36" s="3" t="s">
        <v>55</v>
      </c>
      <c r="X36" s="3" t="s">
        <v>56</v>
      </c>
      <c r="Y36" s="3" t="s">
        <v>57</v>
      </c>
      <c r="Z36" s="66"/>
      <c r="AA36" s="68"/>
      <c r="AC36" s="66"/>
      <c r="AD36" s="66"/>
      <c r="AE36" s="68"/>
      <c r="AF36" s="68"/>
      <c r="AG36" s="68"/>
      <c r="AH36" s="59">
        <v>0.05</v>
      </c>
      <c r="AI36" s="59">
        <v>0.01</v>
      </c>
      <c r="AJ36" s="66"/>
      <c r="AK36" s="66"/>
      <c r="AM36" s="54" t="s">
        <v>74</v>
      </c>
      <c r="AN36" s="54">
        <f>SQRT(AF41/12)</f>
        <v>1.0578208680001828</v>
      </c>
      <c r="AO36" s="56"/>
      <c r="AP36" s="55" t="s">
        <v>86</v>
      </c>
      <c r="AS36" s="66"/>
      <c r="AT36" s="66"/>
      <c r="AU36" s="66"/>
      <c r="AV36" s="66"/>
      <c r="AW36" s="66"/>
      <c r="AX36" s="42">
        <v>0.05</v>
      </c>
      <c r="AY36" s="42">
        <v>0.01</v>
      </c>
      <c r="AZ36" s="66"/>
      <c r="BA36" s="66"/>
    </row>
    <row r="37" spans="1:53" x14ac:dyDescent="0.3">
      <c r="A37" s="73"/>
      <c r="B37" s="75"/>
      <c r="C37" s="87"/>
      <c r="D37" s="18" t="s">
        <v>3</v>
      </c>
      <c r="E37" s="18" t="s">
        <v>4</v>
      </c>
      <c r="F37" s="18" t="s">
        <v>5</v>
      </c>
      <c r="G37" s="18" t="s">
        <v>6</v>
      </c>
      <c r="H37" s="18" t="s">
        <v>3</v>
      </c>
      <c r="I37" s="18" t="s">
        <v>4</v>
      </c>
      <c r="J37" s="18" t="s">
        <v>5</v>
      </c>
      <c r="K37" s="18" t="s">
        <v>6</v>
      </c>
      <c r="L37" s="18" t="s">
        <v>3</v>
      </c>
      <c r="M37" s="18" t="s">
        <v>4</v>
      </c>
      <c r="N37" s="18" t="s">
        <v>5</v>
      </c>
      <c r="O37" s="18" t="s">
        <v>6</v>
      </c>
      <c r="P37" s="66"/>
      <c r="Q37" s="68"/>
      <c r="S37" s="6" t="s">
        <v>44</v>
      </c>
      <c r="T37" s="6">
        <v>3</v>
      </c>
      <c r="V37" s="3" t="s">
        <v>58</v>
      </c>
      <c r="W37" s="2">
        <f>SUM(D38:O38)</f>
        <v>245</v>
      </c>
      <c r="X37" s="2">
        <f>SUM(D39:O39)</f>
        <v>293</v>
      </c>
      <c r="Y37" s="2">
        <f>SUM(D40:O40)</f>
        <v>290</v>
      </c>
      <c r="Z37" s="2">
        <f>SUM(W37:Y37)</f>
        <v>828</v>
      </c>
      <c r="AA37" s="53">
        <f>AVERAGE(W37:Y37)</f>
        <v>276</v>
      </c>
      <c r="AC37" s="3" t="s">
        <v>43</v>
      </c>
      <c r="AD37" s="2">
        <f>12-1</f>
        <v>11</v>
      </c>
      <c r="AE37" s="53">
        <f>T41</f>
        <v>112.18518518518249</v>
      </c>
      <c r="AF37" s="53">
        <f>AE37/AD37</f>
        <v>10.198653198652954</v>
      </c>
      <c r="AG37" s="53">
        <f>AF37/AF41</f>
        <v>0.7595166825996118</v>
      </c>
      <c r="AH37" s="53">
        <f>FINV(AH36,AD37,AD41)</f>
        <v>1.8991710184693407</v>
      </c>
      <c r="AI37" s="53">
        <f>FINV(AI36,AD37,AD41)</f>
        <v>2.4560580535880434</v>
      </c>
      <c r="AJ37" s="30" t="s">
        <v>95</v>
      </c>
      <c r="AK37" s="2"/>
      <c r="AM37" s="53" t="s">
        <v>75</v>
      </c>
      <c r="AN37" s="54">
        <v>4.46</v>
      </c>
      <c r="AO37" s="51"/>
      <c r="AP37" s="51"/>
      <c r="AS37" s="3" t="s">
        <v>43</v>
      </c>
      <c r="AT37" s="2">
        <f>12-1</f>
        <v>11</v>
      </c>
      <c r="AU37" s="6">
        <f>SUMSQ(D47:O47)/(3*3)-AT46</f>
        <v>112.18518518518249</v>
      </c>
      <c r="AV37" s="53">
        <f>AU37/AT37</f>
        <v>10.198653198652954</v>
      </c>
      <c r="AW37" s="53">
        <f>AV37/AV42</f>
        <v>0.7595166825996118</v>
      </c>
      <c r="AX37" s="53">
        <f>FINV(AX36,AT37,AT42)</f>
        <v>1.8991710184693407</v>
      </c>
      <c r="AY37" s="53">
        <f>FINV(AY36,AT37,AT42)</f>
        <v>2.4560580535880434</v>
      </c>
      <c r="AZ37" s="2" t="str">
        <f>IF(AW37&gt;AY37,"**",IF(AW37&gt;AX37,"*","TN"))</f>
        <v>TN</v>
      </c>
      <c r="BA37" s="2" t="str">
        <f>IF(AZ37="TN","Tidak Nyata",IF(AZ37="*","Nyata",IF(AZ37="**","Sangat Nyata",0)))</f>
        <v>Tidak Nyata</v>
      </c>
    </row>
    <row r="38" spans="1:53" ht="15" customHeight="1" x14ac:dyDescent="0.3">
      <c r="A38" s="73"/>
      <c r="B38" s="75"/>
      <c r="C38" s="21" t="s">
        <v>9</v>
      </c>
      <c r="D38" s="1">
        <v>18</v>
      </c>
      <c r="E38" s="1">
        <v>19</v>
      </c>
      <c r="F38" s="1">
        <v>21</v>
      </c>
      <c r="G38" s="1">
        <v>20</v>
      </c>
      <c r="H38" s="1">
        <v>22</v>
      </c>
      <c r="I38" s="1">
        <v>27</v>
      </c>
      <c r="J38" s="1">
        <v>19</v>
      </c>
      <c r="K38" s="1">
        <v>21</v>
      </c>
      <c r="L38" s="1">
        <v>21</v>
      </c>
      <c r="M38" s="1">
        <v>24</v>
      </c>
      <c r="N38" s="1">
        <v>12</v>
      </c>
      <c r="O38" s="1">
        <v>21</v>
      </c>
      <c r="P38" s="22">
        <f>SUM(D38:O38)</f>
        <v>245</v>
      </c>
      <c r="Q38" s="53">
        <f>AVERAGE(D38:O38)</f>
        <v>20.416666666666668</v>
      </c>
      <c r="S38" s="6" t="s">
        <v>45</v>
      </c>
      <c r="T38" s="6">
        <v>3</v>
      </c>
      <c r="V38" s="3" t="s">
        <v>59</v>
      </c>
      <c r="W38" s="2">
        <f>SUM(D41:O41)</f>
        <v>176</v>
      </c>
      <c r="X38" s="2">
        <f>SUM(D42:O42)</f>
        <v>156</v>
      </c>
      <c r="Y38" s="2">
        <f>SUM(D43:O43)</f>
        <v>175</v>
      </c>
      <c r="Z38" s="2">
        <f>SUM(W38:Y38)</f>
        <v>507</v>
      </c>
      <c r="AA38" s="53">
        <f>AVERAGE(W38:Y38)</f>
        <v>169</v>
      </c>
      <c r="AC38" s="3" t="s">
        <v>45</v>
      </c>
      <c r="AD38" s="2">
        <f>3-1</f>
        <v>2</v>
      </c>
      <c r="AE38" s="53">
        <f>T42</f>
        <v>57.18518518518249</v>
      </c>
      <c r="AF38" s="53">
        <f>AE38/AD38</f>
        <v>28.592592592591245</v>
      </c>
      <c r="AG38" s="53">
        <f>AF38/AF41</f>
        <v>2.1293547932108794</v>
      </c>
      <c r="AH38" s="53">
        <f>FINV(AH36,AD38,AD41)</f>
        <v>3.1000686386371408</v>
      </c>
      <c r="AI38" s="53">
        <f>FINV(AI36,AD38,AD41)</f>
        <v>4.8547979993760721</v>
      </c>
      <c r="AJ38" s="30" t="s">
        <v>95</v>
      </c>
      <c r="AK38" s="2"/>
      <c r="AM38" s="53" t="s">
        <v>76</v>
      </c>
      <c r="AN38" s="54">
        <f>AN37*AN36</f>
        <v>4.7178810712808152</v>
      </c>
      <c r="AO38" s="51"/>
      <c r="AP38" s="51"/>
      <c r="AS38" s="3" t="s">
        <v>98</v>
      </c>
      <c r="AT38" s="2">
        <f>3*3-1</f>
        <v>8</v>
      </c>
      <c r="AU38" s="53">
        <f>SUMSQ(P38:P46)/12-AT46</f>
        <v>1736.796296296292</v>
      </c>
      <c r="AV38" s="53">
        <f t="shared" ref="AV38:AV42" si="12">AU38/AT38</f>
        <v>217.0995370370365</v>
      </c>
      <c r="AW38" s="53">
        <f>AV38/AV42</f>
        <v>16.167891676722608</v>
      </c>
      <c r="AX38" s="53">
        <f>FINV(AX36,AT38,AT42)</f>
        <v>2.0454143150341193</v>
      </c>
      <c r="AY38" s="53">
        <f>FINV(AY36,AT38,AT42)</f>
        <v>2.720181875728696</v>
      </c>
      <c r="AZ38" s="2" t="str">
        <f>IF(AW38&gt;AY38,"**",IF(AW38&gt;AX38,"*","TN"))</f>
        <v>**</v>
      </c>
      <c r="BA38" s="2" t="str">
        <f t="shared" ref="BA38:BA41" si="13">IF(AZ38="TN","Tidak Nyata",IF(AZ38="*","Nyata",IF(AZ38="**","Sangat Nyata",0)))</f>
        <v>Sangat Nyata</v>
      </c>
    </row>
    <row r="39" spans="1:53" x14ac:dyDescent="0.3">
      <c r="A39" s="73"/>
      <c r="B39" s="75"/>
      <c r="C39" s="21" t="s">
        <v>10</v>
      </c>
      <c r="D39" s="2">
        <v>24</v>
      </c>
      <c r="E39" s="2">
        <v>22</v>
      </c>
      <c r="F39" s="2">
        <v>26</v>
      </c>
      <c r="G39" s="2">
        <v>25</v>
      </c>
      <c r="H39" s="2">
        <v>24</v>
      </c>
      <c r="I39" s="2">
        <v>25</v>
      </c>
      <c r="J39" s="2">
        <v>25</v>
      </c>
      <c r="K39" s="2">
        <v>24</v>
      </c>
      <c r="L39" s="2">
        <v>22</v>
      </c>
      <c r="M39" s="2">
        <v>24</v>
      </c>
      <c r="N39" s="2">
        <v>27</v>
      </c>
      <c r="O39" s="2">
        <v>25</v>
      </c>
      <c r="P39" s="22">
        <f t="shared" ref="P39:P47" si="14">SUM(D39:O39)</f>
        <v>293</v>
      </c>
      <c r="Q39" s="53">
        <f t="shared" ref="Q39:Q46" si="15">AVERAGE(D39:O39)</f>
        <v>24.416666666666668</v>
      </c>
      <c r="S39" s="6" t="s">
        <v>46</v>
      </c>
      <c r="T39" s="51">
        <f>(P47^2)/(12*3*3)</f>
        <v>40445.370370370372</v>
      </c>
      <c r="V39" s="3" t="s">
        <v>60</v>
      </c>
      <c r="W39" s="2">
        <f>SUM(D44:O44)</f>
        <v>245</v>
      </c>
      <c r="X39" s="2">
        <f>SUM(D45:O45)</f>
        <v>245</v>
      </c>
      <c r="Y39" s="2">
        <f>SUM(D46:O46)</f>
        <v>265</v>
      </c>
      <c r="Z39" s="2">
        <f>SUM(W39:Y39)</f>
        <v>755</v>
      </c>
      <c r="AA39" s="53">
        <f>AVERAGE(W39:Y39)</f>
        <v>251.66666666666666</v>
      </c>
      <c r="AC39" s="3" t="s">
        <v>44</v>
      </c>
      <c r="AD39" s="2">
        <f>3-1</f>
        <v>2</v>
      </c>
      <c r="AE39" s="53">
        <f>T43</f>
        <v>1572.9074074074088</v>
      </c>
      <c r="AF39" s="53">
        <f>AE39/AD39</f>
        <v>786.45370370370438</v>
      </c>
      <c r="AG39" s="53">
        <f>AF39/AF41</f>
        <v>58.568979297591042</v>
      </c>
      <c r="AH39" s="53">
        <f>FINV(AH36,AD39,AD41)</f>
        <v>3.1000686386371408</v>
      </c>
      <c r="AI39" s="53">
        <f>FINV(AI36,AD39,AD41)</f>
        <v>4.8547979993760721</v>
      </c>
      <c r="AJ39" s="30" t="s">
        <v>72</v>
      </c>
      <c r="AK39" s="2"/>
      <c r="AM39" s="51"/>
      <c r="AN39" s="51"/>
      <c r="AO39" s="51"/>
      <c r="AP39" s="51"/>
      <c r="AS39" s="3" t="s">
        <v>45</v>
      </c>
      <c r="AT39" s="2">
        <f>3-1</f>
        <v>2</v>
      </c>
      <c r="AU39" s="53">
        <f>SUMSQ(W40:Y40)/(3*12)-AT46</f>
        <v>57.18518518518249</v>
      </c>
      <c r="AV39" s="53">
        <f t="shared" si="12"/>
        <v>28.592592592591245</v>
      </c>
      <c r="AW39" s="53">
        <f>AV39/AV42</f>
        <v>2.1293547932108794</v>
      </c>
      <c r="AX39" s="53">
        <f>FINV(AX36,AT39,AT42)</f>
        <v>3.1000686386371408</v>
      </c>
      <c r="AY39" s="53">
        <f>FINV(AY36,AT39,AT42)</f>
        <v>4.8547979993760721</v>
      </c>
      <c r="AZ39" s="2" t="str">
        <f>IF(AW39&gt;AY39,"**",IF(AW39&gt;AX39,"*","TN"))</f>
        <v>TN</v>
      </c>
      <c r="BA39" s="2" t="str">
        <f t="shared" si="13"/>
        <v>Tidak Nyata</v>
      </c>
    </row>
    <row r="40" spans="1:53" x14ac:dyDescent="0.3">
      <c r="A40" s="73"/>
      <c r="B40" s="75"/>
      <c r="C40" s="21" t="s">
        <v>11</v>
      </c>
      <c r="D40" s="2">
        <v>21</v>
      </c>
      <c r="E40" s="2">
        <v>26</v>
      </c>
      <c r="F40" s="2">
        <v>24</v>
      </c>
      <c r="G40" s="2">
        <v>27</v>
      </c>
      <c r="H40" s="2">
        <v>21</v>
      </c>
      <c r="I40" s="2">
        <v>23</v>
      </c>
      <c r="J40" s="2">
        <v>25</v>
      </c>
      <c r="K40" s="2">
        <v>25</v>
      </c>
      <c r="L40" s="2">
        <v>25</v>
      </c>
      <c r="M40" s="2">
        <v>23</v>
      </c>
      <c r="N40" s="2">
        <v>24</v>
      </c>
      <c r="O40" s="2">
        <v>26</v>
      </c>
      <c r="P40" s="22">
        <f t="shared" si="14"/>
        <v>290</v>
      </c>
      <c r="Q40" s="53">
        <f t="shared" si="15"/>
        <v>24.166666666666668</v>
      </c>
      <c r="S40" s="6" t="s">
        <v>47</v>
      </c>
      <c r="T40" s="51">
        <f>SUMSQ(D38:O46)-T39</f>
        <v>3030.6296296296277</v>
      </c>
      <c r="V40" s="3" t="s">
        <v>33</v>
      </c>
      <c r="W40" s="2">
        <f>SUM(W37:W39)</f>
        <v>666</v>
      </c>
      <c r="X40" s="2">
        <f>SUM(X37:X39)</f>
        <v>694</v>
      </c>
      <c r="Y40" s="2">
        <f>SUM(Y37:Y39)</f>
        <v>730</v>
      </c>
      <c r="Z40" s="2">
        <f>SUM(W40:Y40)</f>
        <v>2090</v>
      </c>
      <c r="AA40" s="53">
        <f>AVERAGE(W40:Y40)</f>
        <v>696.66666666666663</v>
      </c>
      <c r="AC40" s="3" t="s">
        <v>69</v>
      </c>
      <c r="AD40" s="2">
        <f>(3-1)*(3-1)</f>
        <v>4</v>
      </c>
      <c r="AE40" s="53">
        <f>T44</f>
        <v>106.70370370370074</v>
      </c>
      <c r="AF40" s="53">
        <f>AE40/AD40</f>
        <v>26.675925925925185</v>
      </c>
      <c r="AG40" s="53">
        <f>AF40/AF41</f>
        <v>1.986616308044256</v>
      </c>
      <c r="AH40" s="53">
        <f>FINV(AH36,AD40,AD41)</f>
        <v>2.4752774088696223</v>
      </c>
      <c r="AI40" s="53">
        <f>FINV(AI36,AD40,AD41)</f>
        <v>3.5400845421240663</v>
      </c>
      <c r="AJ40" s="30" t="s">
        <v>95</v>
      </c>
      <c r="AK40" s="2"/>
      <c r="AM40" s="54" t="s">
        <v>0</v>
      </c>
      <c r="AN40" s="54" t="s">
        <v>32</v>
      </c>
      <c r="AO40" s="54" t="s">
        <v>67</v>
      </c>
      <c r="AP40" s="54" t="s">
        <v>77</v>
      </c>
      <c r="AS40" s="3" t="s">
        <v>44</v>
      </c>
      <c r="AT40" s="2">
        <f>3-1</f>
        <v>2</v>
      </c>
      <c r="AU40" s="53">
        <f>SUMSQ(Z37:Z39)/(3*12)-AT46</f>
        <v>1572.9074074074088</v>
      </c>
      <c r="AV40" s="53">
        <f t="shared" si="12"/>
        <v>786.45370370370438</v>
      </c>
      <c r="AW40" s="53">
        <f>AV40/AV42</f>
        <v>58.568979297591042</v>
      </c>
      <c r="AX40" s="53">
        <f>FINV(AX36,AT40,AT42)</f>
        <v>3.1000686386371408</v>
      </c>
      <c r="AY40" s="53">
        <f>FINV(AY36,AT40,AT42)</f>
        <v>4.8547979993760721</v>
      </c>
      <c r="AZ40" s="2" t="str">
        <f>IF(AW40&gt;AY40,"**",IF(AW40&gt;AX40,"*","TN"))</f>
        <v>**</v>
      </c>
      <c r="BA40" s="2" t="str">
        <f t="shared" si="13"/>
        <v>Sangat Nyata</v>
      </c>
    </row>
    <row r="41" spans="1:53" ht="15.5" x14ac:dyDescent="0.3">
      <c r="A41" s="73"/>
      <c r="B41" s="75"/>
      <c r="C41" s="21" t="s">
        <v>12</v>
      </c>
      <c r="D41" s="1">
        <v>15</v>
      </c>
      <c r="E41" s="1">
        <v>10</v>
      </c>
      <c r="F41" s="1">
        <v>16</v>
      </c>
      <c r="G41" s="1">
        <v>23</v>
      </c>
      <c r="H41" s="1">
        <v>18</v>
      </c>
      <c r="I41" s="1">
        <v>15</v>
      </c>
      <c r="J41" s="1">
        <v>17</v>
      </c>
      <c r="K41" s="1">
        <v>14</v>
      </c>
      <c r="L41" s="1">
        <v>12</v>
      </c>
      <c r="M41" s="1">
        <v>13</v>
      </c>
      <c r="N41" s="1">
        <v>12</v>
      </c>
      <c r="O41" s="1">
        <v>11</v>
      </c>
      <c r="P41" s="22">
        <f t="shared" si="14"/>
        <v>176</v>
      </c>
      <c r="Q41" s="53">
        <f t="shared" si="15"/>
        <v>14.666666666666666</v>
      </c>
      <c r="S41" s="6" t="s">
        <v>48</v>
      </c>
      <c r="T41" s="51">
        <f>(SUMSQ(D47:O47)/(3*3))-T39</f>
        <v>112.18518518518249</v>
      </c>
      <c r="V41" s="3" t="s">
        <v>32</v>
      </c>
      <c r="W41" s="53">
        <f>AVERAGE(W37:W39)</f>
        <v>222</v>
      </c>
      <c r="X41" s="53">
        <f>AVERAGE(X37:X39)</f>
        <v>231.33333333333334</v>
      </c>
      <c r="Y41" s="53">
        <f>AVERAGE(Y37:Y39)</f>
        <v>243.33333333333334</v>
      </c>
      <c r="Z41" s="2"/>
      <c r="AA41" s="53"/>
      <c r="AC41" s="3" t="s">
        <v>70</v>
      </c>
      <c r="AD41" s="2">
        <f>((3*3)-1)*(12-1)</f>
        <v>88</v>
      </c>
      <c r="AE41" s="53">
        <f>T45</f>
        <v>1181.6481481481533</v>
      </c>
      <c r="AF41" s="53">
        <f>AE41/AD41</f>
        <v>13.427819865319924</v>
      </c>
      <c r="AG41" s="53"/>
      <c r="AH41" s="53"/>
      <c r="AI41" s="53"/>
      <c r="AJ41" s="2"/>
      <c r="AK41" s="2"/>
      <c r="AM41" s="60" t="s">
        <v>13</v>
      </c>
      <c r="AN41" s="53">
        <v>13</v>
      </c>
      <c r="AO41" s="53" t="s">
        <v>93</v>
      </c>
      <c r="AP41" s="53">
        <f>AN41+AN38</f>
        <v>17.717881071280814</v>
      </c>
      <c r="AS41" s="3" t="s">
        <v>69</v>
      </c>
      <c r="AT41" s="2">
        <f>AT39*AT40</f>
        <v>4</v>
      </c>
      <c r="AU41" s="53">
        <f>AU38-AU39-AU40</f>
        <v>106.70370370370074</v>
      </c>
      <c r="AV41" s="53">
        <f t="shared" si="12"/>
        <v>26.675925925925185</v>
      </c>
      <c r="AW41" s="53">
        <f>AV41/AV42</f>
        <v>1.986616308044256</v>
      </c>
      <c r="AX41" s="53">
        <f>FINV(AX36,AT41,AT42)</f>
        <v>2.4752774088696223</v>
      </c>
      <c r="AY41" s="53">
        <f>FINV(AY36,AT41,AT42)</f>
        <v>3.5400845421240663</v>
      </c>
      <c r="AZ41" s="2" t="str">
        <f>IF(AW41&gt;AY41,"**",IF(AW41&gt;AX41,"*","TN"))</f>
        <v>TN</v>
      </c>
      <c r="BA41" s="2" t="str">
        <f t="shared" si="13"/>
        <v>Tidak Nyata</v>
      </c>
    </row>
    <row r="42" spans="1:53" ht="15.5" x14ac:dyDescent="0.3">
      <c r="A42" s="73"/>
      <c r="B42" s="75"/>
      <c r="C42" s="21" t="s">
        <v>13</v>
      </c>
      <c r="D42" s="1">
        <v>14</v>
      </c>
      <c r="E42" s="1">
        <v>15</v>
      </c>
      <c r="F42" s="1">
        <v>11</v>
      </c>
      <c r="G42" s="1">
        <v>8</v>
      </c>
      <c r="H42" s="1">
        <v>12</v>
      </c>
      <c r="I42" s="1">
        <v>14</v>
      </c>
      <c r="J42" s="1">
        <v>14</v>
      </c>
      <c r="K42" s="1">
        <v>16</v>
      </c>
      <c r="L42" s="1">
        <v>13</v>
      </c>
      <c r="M42" s="1">
        <v>14</v>
      </c>
      <c r="N42" s="1">
        <v>13</v>
      </c>
      <c r="O42" s="1">
        <v>12</v>
      </c>
      <c r="P42" s="22">
        <f t="shared" si="14"/>
        <v>156</v>
      </c>
      <c r="Q42" s="53">
        <f t="shared" si="15"/>
        <v>13</v>
      </c>
      <c r="S42" s="6" t="s">
        <v>50</v>
      </c>
      <c r="T42" s="51">
        <f>(SUMSQ(W40:Y40)/(12*3))-T39</f>
        <v>57.18518518518249</v>
      </c>
      <c r="AA42" s="51"/>
      <c r="AC42" s="3" t="s">
        <v>33</v>
      </c>
      <c r="AD42" s="2">
        <f>(3*3*12)-1</f>
        <v>107</v>
      </c>
      <c r="AE42" s="53">
        <f>T40</f>
        <v>3030.6296296296277</v>
      </c>
      <c r="AF42" s="53"/>
      <c r="AG42" s="53"/>
      <c r="AH42" s="53"/>
      <c r="AI42" s="53"/>
      <c r="AJ42" s="2"/>
      <c r="AK42" s="2"/>
      <c r="AM42" s="60" t="s">
        <v>14</v>
      </c>
      <c r="AN42" s="53">
        <v>14.583333333333334</v>
      </c>
      <c r="AO42" s="53" t="s">
        <v>93</v>
      </c>
      <c r="AP42" s="53">
        <f>AN42+AN38</f>
        <v>19.30121440461415</v>
      </c>
      <c r="AS42" s="3" t="s">
        <v>70</v>
      </c>
      <c r="AT42" s="2">
        <f>AT43-AT37-AT38</f>
        <v>88</v>
      </c>
      <c r="AU42" s="53">
        <f>AU43-AU37-AU38</f>
        <v>1181.6481481481533</v>
      </c>
      <c r="AV42" s="53">
        <f t="shared" si="12"/>
        <v>13.427819865319924</v>
      </c>
      <c r="AW42" s="53"/>
      <c r="AX42" s="53"/>
      <c r="AY42" s="53"/>
      <c r="AZ42" s="2"/>
      <c r="BA42" s="2"/>
    </row>
    <row r="43" spans="1:53" ht="15.5" x14ac:dyDescent="0.3">
      <c r="A43" s="73"/>
      <c r="B43" s="75"/>
      <c r="C43" s="21" t="s">
        <v>14</v>
      </c>
      <c r="D43" s="1">
        <v>11</v>
      </c>
      <c r="E43" s="1">
        <v>11</v>
      </c>
      <c r="F43" s="1">
        <v>19</v>
      </c>
      <c r="G43" s="1">
        <v>20</v>
      </c>
      <c r="H43" s="1">
        <v>12</v>
      </c>
      <c r="I43" s="1">
        <v>21</v>
      </c>
      <c r="J43" s="1">
        <v>14</v>
      </c>
      <c r="K43" s="1">
        <v>13</v>
      </c>
      <c r="L43" s="1">
        <v>12</v>
      </c>
      <c r="M43" s="1">
        <v>12</v>
      </c>
      <c r="N43" s="1">
        <v>14</v>
      </c>
      <c r="O43" s="1">
        <v>16</v>
      </c>
      <c r="P43" s="22">
        <f t="shared" si="14"/>
        <v>175</v>
      </c>
      <c r="Q43" s="53">
        <f t="shared" si="15"/>
        <v>14.583333333333334</v>
      </c>
      <c r="S43" s="6" t="s">
        <v>49</v>
      </c>
      <c r="T43" s="51">
        <f>(SUMSQ(Z37:Z39)/(12*3))-T39</f>
        <v>1572.9074074074088</v>
      </c>
      <c r="AA43" s="51"/>
      <c r="AE43" s="51"/>
      <c r="AF43" s="51"/>
      <c r="AG43" s="51"/>
      <c r="AH43" s="51"/>
      <c r="AI43" s="51"/>
      <c r="AM43" s="60" t="s">
        <v>12</v>
      </c>
      <c r="AN43" s="53">
        <v>14.666666666666666</v>
      </c>
      <c r="AO43" s="53" t="s">
        <v>93</v>
      </c>
      <c r="AP43" s="53">
        <f>AN43+AN38</f>
        <v>19.384547737947482</v>
      </c>
      <c r="AS43" s="3" t="s">
        <v>33</v>
      </c>
      <c r="AT43" s="2">
        <f>(3*3*12)-1</f>
        <v>107</v>
      </c>
      <c r="AU43" s="53">
        <f>SUMSQ(D38:O46)-AT46</f>
        <v>3030.6296296296277</v>
      </c>
      <c r="AV43" s="53"/>
      <c r="AW43" s="53"/>
      <c r="AX43" s="53"/>
      <c r="AY43" s="53"/>
      <c r="AZ43" s="2"/>
      <c r="BA43" s="2"/>
    </row>
    <row r="44" spans="1:53" ht="15.5" x14ac:dyDescent="0.3">
      <c r="A44" s="73"/>
      <c r="B44" s="75"/>
      <c r="C44" s="21" t="s">
        <v>15</v>
      </c>
      <c r="D44" s="1">
        <v>17</v>
      </c>
      <c r="E44" s="1">
        <v>20</v>
      </c>
      <c r="F44" s="1">
        <v>20</v>
      </c>
      <c r="G44" s="1">
        <v>16</v>
      </c>
      <c r="H44" s="1">
        <v>14</v>
      </c>
      <c r="I44" s="1">
        <v>22</v>
      </c>
      <c r="J44" s="1">
        <v>21</v>
      </c>
      <c r="K44" s="1">
        <v>28</v>
      </c>
      <c r="L44" s="1">
        <v>21</v>
      </c>
      <c r="M44" s="1">
        <v>18</v>
      </c>
      <c r="N44" s="1">
        <v>23</v>
      </c>
      <c r="O44" s="1">
        <v>25</v>
      </c>
      <c r="P44" s="22">
        <f t="shared" si="14"/>
        <v>245</v>
      </c>
      <c r="Q44" s="53">
        <f t="shared" si="15"/>
        <v>20.416666666666668</v>
      </c>
      <c r="S44" s="6" t="s">
        <v>51</v>
      </c>
      <c r="T44" s="51">
        <f>(SUMSQ(W37:Y39)/(12))-T39-T42-T43</f>
        <v>106.70370370370074</v>
      </c>
      <c r="AA44" s="51"/>
      <c r="AE44" s="51"/>
      <c r="AF44" s="51"/>
      <c r="AG44" s="51"/>
      <c r="AH44" s="51"/>
      <c r="AI44" s="51"/>
      <c r="AM44" s="60" t="s">
        <v>9</v>
      </c>
      <c r="AN44" s="53">
        <v>20.416666666666668</v>
      </c>
      <c r="AO44" s="53" t="s">
        <v>94</v>
      </c>
      <c r="AP44" s="53">
        <f>AN44+AN38</f>
        <v>25.134547737947482</v>
      </c>
    </row>
    <row r="45" spans="1:53" ht="15.5" x14ac:dyDescent="0.3">
      <c r="A45" s="73"/>
      <c r="B45" s="75"/>
      <c r="C45" s="21" t="s">
        <v>16</v>
      </c>
      <c r="D45" s="1">
        <v>26</v>
      </c>
      <c r="E45" s="1">
        <v>23</v>
      </c>
      <c r="F45" s="1">
        <v>19</v>
      </c>
      <c r="G45" s="1">
        <v>10</v>
      </c>
      <c r="H45" s="1">
        <v>18</v>
      </c>
      <c r="I45" s="1">
        <v>13</v>
      </c>
      <c r="J45" s="1">
        <v>25</v>
      </c>
      <c r="K45" s="1">
        <v>22</v>
      </c>
      <c r="L45" s="1">
        <v>20</v>
      </c>
      <c r="M45" s="1">
        <v>19</v>
      </c>
      <c r="N45" s="1">
        <v>29</v>
      </c>
      <c r="O45" s="1">
        <v>21</v>
      </c>
      <c r="P45" s="22">
        <f t="shared" si="14"/>
        <v>245</v>
      </c>
      <c r="Q45" s="53">
        <f t="shared" si="15"/>
        <v>20.416666666666668</v>
      </c>
      <c r="S45" s="6" t="s">
        <v>52</v>
      </c>
      <c r="T45" s="51">
        <f>T40-T41-T42-T43-T44</f>
        <v>1181.6481481481533</v>
      </c>
      <c r="AA45" s="51"/>
      <c r="AE45" s="51"/>
      <c r="AF45" s="51"/>
      <c r="AG45" s="51"/>
      <c r="AH45" s="51"/>
      <c r="AI45" s="51"/>
      <c r="AM45" s="60" t="s">
        <v>15</v>
      </c>
      <c r="AN45" s="53">
        <v>20.416666666666668</v>
      </c>
      <c r="AO45" s="53" t="s">
        <v>94</v>
      </c>
      <c r="AP45" s="53">
        <f>AN45+AN38</f>
        <v>25.134547737947482</v>
      </c>
    </row>
    <row r="46" spans="1:53" ht="15.5" x14ac:dyDescent="0.3">
      <c r="A46" s="73"/>
      <c r="B46" s="75"/>
      <c r="C46" s="21" t="s">
        <v>17</v>
      </c>
      <c r="D46" s="1">
        <v>19</v>
      </c>
      <c r="E46" s="1">
        <v>21</v>
      </c>
      <c r="F46" s="1">
        <v>32</v>
      </c>
      <c r="G46" s="1">
        <v>18</v>
      </c>
      <c r="H46" s="1">
        <v>23</v>
      </c>
      <c r="I46" s="1">
        <v>19</v>
      </c>
      <c r="J46" s="1">
        <v>18</v>
      </c>
      <c r="K46" s="1">
        <v>25</v>
      </c>
      <c r="L46" s="1">
        <v>20</v>
      </c>
      <c r="M46" s="1">
        <v>18</v>
      </c>
      <c r="N46" s="1">
        <v>32</v>
      </c>
      <c r="O46" s="1">
        <v>20</v>
      </c>
      <c r="P46" s="22">
        <f t="shared" si="14"/>
        <v>265</v>
      </c>
      <c r="Q46" s="53">
        <f t="shared" si="15"/>
        <v>22.083333333333332</v>
      </c>
      <c r="AA46" s="51"/>
      <c r="AE46" s="51"/>
      <c r="AF46" s="51"/>
      <c r="AG46" s="51"/>
      <c r="AH46" s="51"/>
      <c r="AI46" s="51"/>
      <c r="AM46" s="60" t="s">
        <v>16</v>
      </c>
      <c r="AN46" s="53">
        <v>20.416666666666668</v>
      </c>
      <c r="AO46" s="53" t="s">
        <v>94</v>
      </c>
      <c r="AP46" s="53">
        <f>AN46+AN38</f>
        <v>25.134547737947482</v>
      </c>
      <c r="AS46" s="2" t="s">
        <v>46</v>
      </c>
      <c r="AT46" s="53">
        <f>P47^2/(3*3*12)</f>
        <v>40445.370370370372</v>
      </c>
    </row>
    <row r="47" spans="1:53" x14ac:dyDescent="0.3">
      <c r="A47" s="73"/>
      <c r="B47" s="75"/>
      <c r="C47" s="20" t="s">
        <v>33</v>
      </c>
      <c r="D47" s="23">
        <f>SUM(D38:D46)</f>
        <v>165</v>
      </c>
      <c r="E47" s="23">
        <f t="shared" ref="E47:O47" si="16">SUM(E38:E46)</f>
        <v>167</v>
      </c>
      <c r="F47" s="23">
        <f t="shared" si="16"/>
        <v>188</v>
      </c>
      <c r="G47" s="23">
        <f t="shared" si="16"/>
        <v>167</v>
      </c>
      <c r="H47" s="23">
        <f t="shared" si="16"/>
        <v>164</v>
      </c>
      <c r="I47" s="23">
        <f t="shared" si="16"/>
        <v>179</v>
      </c>
      <c r="J47" s="23">
        <f t="shared" si="16"/>
        <v>178</v>
      </c>
      <c r="K47" s="23">
        <f t="shared" si="16"/>
        <v>188</v>
      </c>
      <c r="L47" s="23">
        <f t="shared" si="16"/>
        <v>166</v>
      </c>
      <c r="M47" s="23">
        <f t="shared" si="16"/>
        <v>165</v>
      </c>
      <c r="N47" s="23">
        <f t="shared" si="16"/>
        <v>186</v>
      </c>
      <c r="O47" s="23">
        <f t="shared" si="16"/>
        <v>177</v>
      </c>
      <c r="P47" s="22">
        <f t="shared" si="14"/>
        <v>2090</v>
      </c>
      <c r="Q47" s="53"/>
      <c r="AA47" s="51"/>
      <c r="AE47" s="51"/>
      <c r="AF47" s="51"/>
      <c r="AG47" s="51"/>
      <c r="AH47" s="51"/>
      <c r="AI47" s="51"/>
      <c r="AM47" s="60" t="s">
        <v>17</v>
      </c>
      <c r="AN47" s="53">
        <v>22.083333333333332</v>
      </c>
      <c r="AO47" s="53" t="s">
        <v>94</v>
      </c>
      <c r="AP47" s="53">
        <f>AN47+AN38</f>
        <v>26.801214404614147</v>
      </c>
    </row>
    <row r="48" spans="1:53" x14ac:dyDescent="0.3">
      <c r="A48" s="66"/>
      <c r="B48" s="76"/>
      <c r="C48" s="20" t="s">
        <v>32</v>
      </c>
      <c r="D48" s="53">
        <f>AVERAGE(D38:D46)</f>
        <v>18.333333333333332</v>
      </c>
      <c r="E48" s="53">
        <f t="shared" ref="E48:O48" si="17">AVERAGE(E38:E46)</f>
        <v>18.555555555555557</v>
      </c>
      <c r="F48" s="53">
        <f t="shared" si="17"/>
        <v>20.888888888888889</v>
      </c>
      <c r="G48" s="53">
        <f t="shared" si="17"/>
        <v>18.555555555555557</v>
      </c>
      <c r="H48" s="53">
        <f t="shared" si="17"/>
        <v>18.222222222222221</v>
      </c>
      <c r="I48" s="53">
        <f t="shared" si="17"/>
        <v>19.888888888888889</v>
      </c>
      <c r="J48" s="53">
        <f t="shared" si="17"/>
        <v>19.777777777777779</v>
      </c>
      <c r="K48" s="53">
        <f t="shared" si="17"/>
        <v>20.888888888888889</v>
      </c>
      <c r="L48" s="53">
        <f t="shared" si="17"/>
        <v>18.444444444444443</v>
      </c>
      <c r="M48" s="53">
        <f t="shared" si="17"/>
        <v>18.333333333333332</v>
      </c>
      <c r="N48" s="53">
        <f t="shared" si="17"/>
        <v>20.666666666666668</v>
      </c>
      <c r="O48" s="53">
        <f t="shared" si="17"/>
        <v>19.666666666666668</v>
      </c>
      <c r="P48" s="2"/>
      <c r="Q48" s="53"/>
      <c r="AA48" s="51"/>
      <c r="AE48" s="51"/>
      <c r="AF48" s="51"/>
      <c r="AG48" s="51"/>
      <c r="AH48" s="51"/>
      <c r="AI48" s="51"/>
      <c r="AM48" s="60" t="s">
        <v>11</v>
      </c>
      <c r="AN48" s="53">
        <v>24.166666666666668</v>
      </c>
      <c r="AO48" s="53" t="s">
        <v>94</v>
      </c>
      <c r="AP48" s="53">
        <f>AN48+AN38</f>
        <v>28.884547737947482</v>
      </c>
    </row>
    <row r="49" spans="1:53" x14ac:dyDescent="0.3">
      <c r="Q49" s="51"/>
      <c r="AA49" s="51"/>
      <c r="AE49" s="51"/>
      <c r="AF49" s="51"/>
      <c r="AG49" s="51"/>
      <c r="AH49" s="51"/>
      <c r="AI49" s="51"/>
      <c r="AM49" s="60" t="s">
        <v>10</v>
      </c>
      <c r="AN49" s="53">
        <v>24.416666666666668</v>
      </c>
      <c r="AO49" s="53" t="s">
        <v>94</v>
      </c>
      <c r="AP49" s="53">
        <f>AN49+AN39</f>
        <v>24.416666666666668</v>
      </c>
    </row>
    <row r="50" spans="1:53" x14ac:dyDescent="0.3">
      <c r="Q50" s="51"/>
      <c r="AA50" s="51"/>
      <c r="AE50" s="51"/>
      <c r="AF50" s="51"/>
      <c r="AG50" s="51"/>
      <c r="AH50" s="51"/>
      <c r="AI50" s="51"/>
      <c r="AM50" s="51"/>
      <c r="AN50" s="51"/>
      <c r="AO50" s="51"/>
      <c r="AP50" s="51"/>
      <c r="AS50" s="6" t="s">
        <v>97</v>
      </c>
    </row>
    <row r="51" spans="1:53" x14ac:dyDescent="0.3">
      <c r="A51" s="3" t="s">
        <v>18</v>
      </c>
      <c r="B51" s="3" t="s">
        <v>20</v>
      </c>
      <c r="C51" s="87" t="s">
        <v>0</v>
      </c>
      <c r="D51" s="69" t="s">
        <v>1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5" t="s">
        <v>33</v>
      </c>
      <c r="Q51" s="67" t="s">
        <v>32</v>
      </c>
      <c r="V51" s="65" t="s">
        <v>53</v>
      </c>
      <c r="W51" s="70" t="s">
        <v>54</v>
      </c>
      <c r="X51" s="71"/>
      <c r="Y51" s="72"/>
      <c r="Z51" s="65" t="s">
        <v>33</v>
      </c>
      <c r="AA51" s="67" t="s">
        <v>32</v>
      </c>
      <c r="AC51" s="65" t="s">
        <v>61</v>
      </c>
      <c r="AD51" s="65" t="s">
        <v>62</v>
      </c>
      <c r="AE51" s="67" t="s">
        <v>63</v>
      </c>
      <c r="AF51" s="67" t="s">
        <v>64</v>
      </c>
      <c r="AG51" s="67" t="s">
        <v>65</v>
      </c>
      <c r="AH51" s="64" t="s">
        <v>66</v>
      </c>
      <c r="AI51" s="64"/>
      <c r="AJ51" s="65" t="s">
        <v>67</v>
      </c>
      <c r="AK51" s="65" t="s">
        <v>68</v>
      </c>
      <c r="AM51" s="80" t="s">
        <v>80</v>
      </c>
      <c r="AN51" s="80"/>
      <c r="AO51" s="51"/>
      <c r="AP51" s="51"/>
      <c r="AS51" s="65" t="s">
        <v>61</v>
      </c>
      <c r="AT51" s="65" t="s">
        <v>62</v>
      </c>
      <c r="AU51" s="65" t="s">
        <v>63</v>
      </c>
      <c r="AV51" s="65" t="s">
        <v>64</v>
      </c>
      <c r="AW51" s="65" t="s">
        <v>65</v>
      </c>
      <c r="AX51" s="69" t="s">
        <v>66</v>
      </c>
      <c r="AY51" s="69"/>
      <c r="AZ51" s="65" t="s">
        <v>67</v>
      </c>
      <c r="BA51" s="65" t="s">
        <v>68</v>
      </c>
    </row>
    <row r="52" spans="1:53" x14ac:dyDescent="0.3">
      <c r="A52" s="65">
        <v>6</v>
      </c>
      <c r="B52" s="74" t="s">
        <v>39</v>
      </c>
      <c r="C52" s="87"/>
      <c r="D52" s="69" t="s">
        <v>2</v>
      </c>
      <c r="E52" s="69"/>
      <c r="F52" s="69"/>
      <c r="G52" s="69"/>
      <c r="H52" s="69" t="s">
        <v>7</v>
      </c>
      <c r="I52" s="69"/>
      <c r="J52" s="69"/>
      <c r="K52" s="69"/>
      <c r="L52" s="69" t="s">
        <v>8</v>
      </c>
      <c r="M52" s="69"/>
      <c r="N52" s="69"/>
      <c r="O52" s="69"/>
      <c r="P52" s="73"/>
      <c r="Q52" s="77"/>
      <c r="S52" s="6" t="s">
        <v>71</v>
      </c>
      <c r="T52" s="6">
        <v>12</v>
      </c>
      <c r="V52" s="66"/>
      <c r="W52" s="3" t="s">
        <v>55</v>
      </c>
      <c r="X52" s="3" t="s">
        <v>56</v>
      </c>
      <c r="Y52" s="3" t="s">
        <v>57</v>
      </c>
      <c r="Z52" s="66"/>
      <c r="AA52" s="68"/>
      <c r="AC52" s="66"/>
      <c r="AD52" s="66"/>
      <c r="AE52" s="68"/>
      <c r="AF52" s="68"/>
      <c r="AG52" s="68"/>
      <c r="AH52" s="59">
        <v>0.05</v>
      </c>
      <c r="AI52" s="59">
        <v>0.01</v>
      </c>
      <c r="AJ52" s="66"/>
      <c r="AK52" s="66"/>
      <c r="AM52" s="54" t="s">
        <v>74</v>
      </c>
      <c r="AN52" s="54">
        <f>SQRT(AF57/12)</f>
        <v>0.98794998555688263</v>
      </c>
      <c r="AO52" s="56"/>
      <c r="AP52" s="55" t="s">
        <v>87</v>
      </c>
      <c r="AS52" s="66"/>
      <c r="AT52" s="66"/>
      <c r="AU52" s="66"/>
      <c r="AV52" s="66"/>
      <c r="AW52" s="66"/>
      <c r="AX52" s="42">
        <v>0.05</v>
      </c>
      <c r="AY52" s="42">
        <v>0.01</v>
      </c>
      <c r="AZ52" s="66"/>
      <c r="BA52" s="66"/>
    </row>
    <row r="53" spans="1:53" x14ac:dyDescent="0.3">
      <c r="A53" s="73"/>
      <c r="B53" s="75"/>
      <c r="C53" s="87"/>
      <c r="D53" s="18" t="s">
        <v>3</v>
      </c>
      <c r="E53" s="18" t="s">
        <v>4</v>
      </c>
      <c r="F53" s="18" t="s">
        <v>5</v>
      </c>
      <c r="G53" s="18" t="s">
        <v>6</v>
      </c>
      <c r="H53" s="18" t="s">
        <v>3</v>
      </c>
      <c r="I53" s="18" t="s">
        <v>4</v>
      </c>
      <c r="J53" s="18" t="s">
        <v>5</v>
      </c>
      <c r="K53" s="18" t="s">
        <v>6</v>
      </c>
      <c r="L53" s="18" t="s">
        <v>3</v>
      </c>
      <c r="M53" s="18" t="s">
        <v>4</v>
      </c>
      <c r="N53" s="18" t="s">
        <v>5</v>
      </c>
      <c r="O53" s="18" t="s">
        <v>6</v>
      </c>
      <c r="P53" s="66"/>
      <c r="Q53" s="68"/>
      <c r="S53" s="6" t="s">
        <v>44</v>
      </c>
      <c r="T53" s="6">
        <v>3</v>
      </c>
      <c r="V53" s="3" t="s">
        <v>58</v>
      </c>
      <c r="W53" s="2">
        <f>SUM(D54:O54)</f>
        <v>240</v>
      </c>
      <c r="X53" s="2">
        <f>SUM(D55:O55)</f>
        <v>301</v>
      </c>
      <c r="Y53" s="2">
        <f>SUM(D56:O56)</f>
        <v>300</v>
      </c>
      <c r="Z53" s="2">
        <f>SUM(W53:Y53)</f>
        <v>841</v>
      </c>
      <c r="AA53" s="53">
        <f>AVERAGE(W53:Y53)</f>
        <v>280.33333333333331</v>
      </c>
      <c r="AC53" s="3" t="s">
        <v>43</v>
      </c>
      <c r="AD53" s="2">
        <f>12-1</f>
        <v>11</v>
      </c>
      <c r="AE53" s="53">
        <f>T57</f>
        <v>116.29629629629198</v>
      </c>
      <c r="AF53" s="53">
        <f>AE53/AD53</f>
        <v>10.57239057239018</v>
      </c>
      <c r="AG53" s="53">
        <f>AF53/AF57</f>
        <v>0.90265550325196608</v>
      </c>
      <c r="AH53" s="53">
        <f>FINV(AH52,AD53,AD57)</f>
        <v>1.8991710184693407</v>
      </c>
      <c r="AI53" s="53">
        <f>FINV(AI52,AD53,AD57)</f>
        <v>2.4560580535880434</v>
      </c>
      <c r="AJ53" s="30" t="s">
        <v>95</v>
      </c>
      <c r="AK53" s="2"/>
      <c r="AM53" s="53" t="s">
        <v>75</v>
      </c>
      <c r="AN53" s="54">
        <v>4.46</v>
      </c>
      <c r="AO53" s="51"/>
      <c r="AP53" s="51"/>
      <c r="AS53" s="3" t="s">
        <v>43</v>
      </c>
      <c r="AT53" s="2">
        <f>12-1</f>
        <v>11</v>
      </c>
      <c r="AU53" s="6">
        <f>SUMSQ(D63:O63)/(3*3)-AT62</f>
        <v>116.29629629629198</v>
      </c>
      <c r="AV53" s="53">
        <f>AU53/AT53</f>
        <v>10.57239057239018</v>
      </c>
      <c r="AW53" s="53">
        <f>AV53/AV58</f>
        <v>0.90265550325196608</v>
      </c>
      <c r="AX53" s="53">
        <f>FINV(AX52,AT53,AT58)</f>
        <v>1.8991710184693407</v>
      </c>
      <c r="AY53" s="53">
        <f>FINV(AY52,AT53,AT58)</f>
        <v>2.4560580535880434</v>
      </c>
      <c r="AZ53" s="2" t="str">
        <f>IF(AW53&gt;AY53,"**",IF(AW53&gt;AX53,"*","TN"))</f>
        <v>TN</v>
      </c>
      <c r="BA53" s="2" t="str">
        <f>IF(AZ53="TN","Tidak Nyata",IF(AZ53="*","Nyata",IF(AZ53="**","Sangat Nyata",0)))</f>
        <v>Tidak Nyata</v>
      </c>
    </row>
    <row r="54" spans="1:53" ht="15.5" x14ac:dyDescent="0.3">
      <c r="A54" s="73"/>
      <c r="B54" s="75"/>
      <c r="C54" s="21" t="s">
        <v>9</v>
      </c>
      <c r="D54" s="1">
        <v>15</v>
      </c>
      <c r="E54" s="1">
        <v>21</v>
      </c>
      <c r="F54" s="1">
        <v>20</v>
      </c>
      <c r="G54" s="1">
        <v>21</v>
      </c>
      <c r="H54" s="1">
        <v>25</v>
      </c>
      <c r="I54" s="1">
        <v>25</v>
      </c>
      <c r="J54" s="1">
        <v>15</v>
      </c>
      <c r="K54" s="1">
        <v>20</v>
      </c>
      <c r="L54" s="1">
        <v>20</v>
      </c>
      <c r="M54" s="1">
        <v>24</v>
      </c>
      <c r="N54" s="1">
        <v>12</v>
      </c>
      <c r="O54" s="1">
        <v>22</v>
      </c>
      <c r="P54" s="22">
        <f>SUM(D54:O54)</f>
        <v>240</v>
      </c>
      <c r="Q54" s="53">
        <f>AVERAGE(D54:O54)</f>
        <v>20</v>
      </c>
      <c r="S54" s="6" t="s">
        <v>45</v>
      </c>
      <c r="T54" s="6">
        <v>3</v>
      </c>
      <c r="V54" s="3" t="s">
        <v>59</v>
      </c>
      <c r="W54" s="2">
        <f>SUM(D57:O57)</f>
        <v>182</v>
      </c>
      <c r="X54" s="2">
        <f>SUM(D58:O58)</f>
        <v>168</v>
      </c>
      <c r="Y54" s="2">
        <f>SUM(D59:O59)</f>
        <v>186</v>
      </c>
      <c r="Z54" s="2">
        <f>SUM(W54:Y54)</f>
        <v>536</v>
      </c>
      <c r="AA54" s="53">
        <f>AVERAGE(W54:Y54)</f>
        <v>178.66666666666666</v>
      </c>
      <c r="AC54" s="3" t="s">
        <v>45</v>
      </c>
      <c r="AD54" s="2">
        <f>3-1</f>
        <v>2</v>
      </c>
      <c r="AE54" s="53">
        <f>T58</f>
        <v>112.79629629629198</v>
      </c>
      <c r="AF54" s="53">
        <f>AE54/AD54</f>
        <v>56.398148148145992</v>
      </c>
      <c r="AG54" s="53">
        <f>AF54/AF57</f>
        <v>4.8151927845051681</v>
      </c>
      <c r="AH54" s="53">
        <f>FINV(AH52,AD54,AD57)</f>
        <v>3.1000686386371408</v>
      </c>
      <c r="AI54" s="53">
        <f>FINV(AI52,AD54,AD57)</f>
        <v>4.8547979993760721</v>
      </c>
      <c r="AJ54" s="30" t="s">
        <v>72</v>
      </c>
      <c r="AK54" s="2"/>
      <c r="AM54" s="53" t="s">
        <v>76</v>
      </c>
      <c r="AN54" s="54">
        <f>AN53*AN52</f>
        <v>4.4062569355836967</v>
      </c>
      <c r="AO54" s="51"/>
      <c r="AP54" s="51"/>
      <c r="AS54" s="3" t="s">
        <v>98</v>
      </c>
      <c r="AT54" s="2">
        <f>3*3-1</f>
        <v>8</v>
      </c>
      <c r="AU54" s="53">
        <f>SUMSQ(P54:P62)/12-AT62</f>
        <v>1672.6296296296277</v>
      </c>
      <c r="AV54" s="53">
        <f t="shared" ref="AV54:AV58" si="18">AU54/AT54</f>
        <v>209.07870370370347</v>
      </c>
      <c r="AW54" s="53">
        <f>AV54/AV58</f>
        <v>17.850839052786569</v>
      </c>
      <c r="AX54" s="53">
        <f>FINV(AX52,AT54,AT58)</f>
        <v>2.0454143150341193</v>
      </c>
      <c r="AY54" s="53">
        <f>FINV(AY52,AT54,AT58)</f>
        <v>2.720181875728696</v>
      </c>
      <c r="AZ54" s="2" t="str">
        <f>IF(AW54&gt;AY54,"**",IF(AW54&gt;AX54,"*","TN"))</f>
        <v>**</v>
      </c>
      <c r="BA54" s="2" t="str">
        <f t="shared" ref="BA54:BA57" si="19">IF(AZ54="TN","Tidak Nyata",IF(AZ54="*","Nyata",IF(AZ54="**","Sangat Nyata",0)))</f>
        <v>Sangat Nyata</v>
      </c>
    </row>
    <row r="55" spans="1:53" ht="14.5" customHeight="1" x14ac:dyDescent="0.3">
      <c r="A55" s="73"/>
      <c r="B55" s="75"/>
      <c r="C55" s="21" t="s">
        <v>10</v>
      </c>
      <c r="D55" s="2">
        <v>23</v>
      </c>
      <c r="E55" s="2">
        <v>24</v>
      </c>
      <c r="F55" s="2">
        <v>25</v>
      </c>
      <c r="G55" s="2">
        <v>26</v>
      </c>
      <c r="H55" s="2">
        <v>25</v>
      </c>
      <c r="I55" s="2">
        <v>26</v>
      </c>
      <c r="J55" s="2">
        <v>25</v>
      </c>
      <c r="K55" s="2">
        <v>25</v>
      </c>
      <c r="L55" s="2">
        <v>24</v>
      </c>
      <c r="M55" s="2">
        <v>27</v>
      </c>
      <c r="N55" s="2">
        <v>26</v>
      </c>
      <c r="O55" s="2">
        <v>25</v>
      </c>
      <c r="P55" s="22">
        <f t="shared" ref="P55:P62" si="20">SUM(D55:O55)</f>
        <v>301</v>
      </c>
      <c r="Q55" s="53">
        <f t="shared" ref="Q55:Q61" si="21">AVERAGE(D55:O55)</f>
        <v>25.083333333333332</v>
      </c>
      <c r="S55" s="6" t="s">
        <v>46</v>
      </c>
      <c r="T55" s="51">
        <f>(P63^2)/(12*3*3)</f>
        <v>42562.370370370372</v>
      </c>
      <c r="V55" s="3" t="s">
        <v>60</v>
      </c>
      <c r="W55" s="2">
        <f>SUM(D60:O60)</f>
        <v>249</v>
      </c>
      <c r="X55" s="2">
        <f>SUM(D61:O61)</f>
        <v>243</v>
      </c>
      <c r="Y55" s="2">
        <f>SUM(D62:O62)</f>
        <v>275</v>
      </c>
      <c r="Z55" s="2">
        <f>SUM(W55:Y55)</f>
        <v>767</v>
      </c>
      <c r="AA55" s="53">
        <f>AVERAGE(W55:Y55)</f>
        <v>255.66666666666666</v>
      </c>
      <c r="AC55" s="3" t="s">
        <v>44</v>
      </c>
      <c r="AD55" s="2">
        <f>3-1</f>
        <v>2</v>
      </c>
      <c r="AE55" s="53">
        <f>T59</f>
        <v>1406.1296296296277</v>
      </c>
      <c r="AF55" s="53">
        <f>AE55/AD55</f>
        <v>703.06481481481387</v>
      </c>
      <c r="AG55" s="53">
        <f>AF55/AF57</f>
        <v>60.026662833734264</v>
      </c>
      <c r="AH55" s="53">
        <f>FINV(AH52,AD55,AD57)</f>
        <v>3.1000686386371408</v>
      </c>
      <c r="AI55" s="53">
        <f>FINV(AI52,AD55,AD57)</f>
        <v>4.8547979993760721</v>
      </c>
      <c r="AJ55" s="30" t="s">
        <v>72</v>
      </c>
      <c r="AK55" s="2"/>
      <c r="AM55" s="51"/>
      <c r="AN55" s="51"/>
      <c r="AO55" s="51"/>
      <c r="AP55" s="51"/>
      <c r="AS55" s="3" t="s">
        <v>45</v>
      </c>
      <c r="AT55" s="2">
        <f>3-1</f>
        <v>2</v>
      </c>
      <c r="AU55" s="53">
        <f>SUMSQ(W56:Y56)/(3*12)-AT62</f>
        <v>112.79629629629198</v>
      </c>
      <c r="AV55" s="53">
        <f t="shared" si="18"/>
        <v>56.398148148145992</v>
      </c>
      <c r="AW55" s="53">
        <f>AV55/AV58</f>
        <v>4.8151927845051681</v>
      </c>
      <c r="AX55" s="53">
        <f>FINV(AX52,AT55,AT58)</f>
        <v>3.1000686386371408</v>
      </c>
      <c r="AY55" s="53">
        <f>FINV(AY52,AT55,AT58)</f>
        <v>4.8547979993760721</v>
      </c>
      <c r="AZ55" s="2" t="str">
        <f>IF(AW55&gt;AY55,"**",IF(AW55&gt;AX55,"*","TN"))</f>
        <v>*</v>
      </c>
      <c r="BA55" s="2" t="str">
        <f t="shared" si="19"/>
        <v>Nyata</v>
      </c>
    </row>
    <row r="56" spans="1:53" x14ac:dyDescent="0.3">
      <c r="A56" s="73"/>
      <c r="B56" s="75"/>
      <c r="C56" s="21" t="s">
        <v>11</v>
      </c>
      <c r="D56" s="2">
        <v>23</v>
      </c>
      <c r="E56" s="2">
        <v>26</v>
      </c>
      <c r="F56" s="2">
        <v>25</v>
      </c>
      <c r="G56" s="2">
        <v>27</v>
      </c>
      <c r="H56" s="2">
        <v>23</v>
      </c>
      <c r="I56" s="2">
        <v>24</v>
      </c>
      <c r="J56" s="2">
        <v>27</v>
      </c>
      <c r="K56" s="2">
        <v>24</v>
      </c>
      <c r="L56" s="2">
        <v>25</v>
      </c>
      <c r="M56" s="2">
        <v>25</v>
      </c>
      <c r="N56" s="2">
        <v>26</v>
      </c>
      <c r="O56" s="2">
        <v>25</v>
      </c>
      <c r="P56" s="22">
        <f t="shared" si="20"/>
        <v>300</v>
      </c>
      <c r="Q56" s="53">
        <f t="shared" si="21"/>
        <v>25</v>
      </c>
      <c r="S56" s="6" t="s">
        <v>47</v>
      </c>
      <c r="T56" s="51">
        <f>SUMSQ(D54:O62)-T55</f>
        <v>2819.6296296296277</v>
      </c>
      <c r="V56" s="3" t="s">
        <v>33</v>
      </c>
      <c r="W56" s="2">
        <f>SUM(W53:W55)</f>
        <v>671</v>
      </c>
      <c r="X56" s="2">
        <f>SUM(X53:X55)</f>
        <v>712</v>
      </c>
      <c r="Y56" s="2">
        <f>SUM(Y53:Y55)</f>
        <v>761</v>
      </c>
      <c r="Z56" s="2">
        <f>SUM(W56:Y56)</f>
        <v>2144</v>
      </c>
      <c r="AA56" s="53">
        <f>AVERAGE(W56:Y56)</f>
        <v>714.66666666666663</v>
      </c>
      <c r="AC56" s="3" t="s">
        <v>69</v>
      </c>
      <c r="AD56" s="2">
        <f>(3-1)*(3-1)</f>
        <v>4</v>
      </c>
      <c r="AE56" s="53">
        <f>T60</f>
        <v>153.70370370370802</v>
      </c>
      <c r="AF56" s="53">
        <f>AE56/AD56</f>
        <v>38.425925925927004</v>
      </c>
      <c r="AG56" s="53">
        <f>AF56/AF57</f>
        <v>3.2807502964534185</v>
      </c>
      <c r="AH56" s="53">
        <f>FINV(AH52,AD56,AD57)</f>
        <v>2.4752774088696223</v>
      </c>
      <c r="AI56" s="53">
        <f>FINV(AI52,AD56,AD57)</f>
        <v>3.5400845421240663</v>
      </c>
      <c r="AJ56" s="30" t="s">
        <v>72</v>
      </c>
      <c r="AK56" s="2"/>
      <c r="AM56" s="54" t="s">
        <v>0</v>
      </c>
      <c r="AN56" s="54" t="s">
        <v>32</v>
      </c>
      <c r="AO56" s="54" t="s">
        <v>67</v>
      </c>
      <c r="AP56" s="54" t="s">
        <v>77</v>
      </c>
      <c r="AS56" s="3" t="s">
        <v>44</v>
      </c>
      <c r="AT56" s="2">
        <f>3-1</f>
        <v>2</v>
      </c>
      <c r="AU56" s="53">
        <f>SUMSQ(Z53:Z55)/(3*12)-AT62</f>
        <v>1406.1296296296277</v>
      </c>
      <c r="AV56" s="53">
        <f t="shared" si="18"/>
        <v>703.06481481481387</v>
      </c>
      <c r="AW56" s="53">
        <f>AV56/AV58</f>
        <v>60.026662833734264</v>
      </c>
      <c r="AX56" s="53">
        <f>FINV(AX52,AT56,AT58)</f>
        <v>3.1000686386371408</v>
      </c>
      <c r="AY56" s="53">
        <f>FINV(AY52,AT56,AT58)</f>
        <v>4.8547979993760721</v>
      </c>
      <c r="AZ56" s="2" t="str">
        <f>IF(AW56&gt;AY56,"**",IF(AW56&gt;AX56,"*","TN"))</f>
        <v>**</v>
      </c>
      <c r="BA56" s="2" t="str">
        <f t="shared" si="19"/>
        <v>Sangat Nyata</v>
      </c>
    </row>
    <row r="57" spans="1:53" ht="15.5" x14ac:dyDescent="0.3">
      <c r="A57" s="73"/>
      <c r="B57" s="75"/>
      <c r="C57" s="21" t="s">
        <v>12</v>
      </c>
      <c r="D57" s="1">
        <v>16</v>
      </c>
      <c r="E57" s="1">
        <v>11</v>
      </c>
      <c r="F57" s="1">
        <v>16</v>
      </c>
      <c r="G57" s="1">
        <v>21</v>
      </c>
      <c r="H57" s="1">
        <v>18</v>
      </c>
      <c r="I57" s="1">
        <v>16</v>
      </c>
      <c r="J57" s="1">
        <v>17</v>
      </c>
      <c r="K57" s="1">
        <v>15</v>
      </c>
      <c r="L57" s="1">
        <v>13</v>
      </c>
      <c r="M57" s="1">
        <v>14</v>
      </c>
      <c r="N57" s="1">
        <v>13</v>
      </c>
      <c r="O57" s="1">
        <v>12</v>
      </c>
      <c r="P57" s="22">
        <f t="shared" si="20"/>
        <v>182</v>
      </c>
      <c r="Q57" s="53">
        <f t="shared" si="21"/>
        <v>15.166666666666666</v>
      </c>
      <c r="S57" s="6" t="s">
        <v>48</v>
      </c>
      <c r="T57" s="51">
        <f>(SUMSQ(D63:O63)/(3*3))-T55</f>
        <v>116.29629629629198</v>
      </c>
      <c r="V57" s="3" t="s">
        <v>32</v>
      </c>
      <c r="W57" s="53">
        <f>AVERAGE(W53:W55)</f>
        <v>223.66666666666666</v>
      </c>
      <c r="X57" s="53">
        <f>AVERAGE(X53:X55)</f>
        <v>237.33333333333334</v>
      </c>
      <c r="Y57" s="53">
        <f>AVERAGE(Y53:Y55)</f>
        <v>253.66666666666666</v>
      </c>
      <c r="Z57" s="2"/>
      <c r="AA57" s="53"/>
      <c r="AC57" s="3" t="s">
        <v>70</v>
      </c>
      <c r="AD57" s="2">
        <f>((3*3)-1)*(12-1)</f>
        <v>88</v>
      </c>
      <c r="AE57" s="53">
        <f>T61</f>
        <v>1030.703703703708</v>
      </c>
      <c r="AF57" s="53">
        <f>AE57/AD57</f>
        <v>11.712542087542136</v>
      </c>
      <c r="AG57" s="53"/>
      <c r="AH57" s="53"/>
      <c r="AI57" s="53"/>
      <c r="AJ57" s="2"/>
      <c r="AK57" s="2"/>
      <c r="AM57" s="60" t="s">
        <v>13</v>
      </c>
      <c r="AN57" s="53">
        <v>14</v>
      </c>
      <c r="AO57" s="53" t="s">
        <v>93</v>
      </c>
      <c r="AP57" s="53">
        <f>AN57+AN54</f>
        <v>18.406256935583698</v>
      </c>
      <c r="AS57" s="3" t="s">
        <v>69</v>
      </c>
      <c r="AT57" s="2">
        <f>AT55*AT56</f>
        <v>4</v>
      </c>
      <c r="AU57" s="53">
        <f>AU54-AU55-AU56</f>
        <v>153.70370370370802</v>
      </c>
      <c r="AV57" s="53">
        <f t="shared" si="18"/>
        <v>38.425925925927004</v>
      </c>
      <c r="AW57" s="53">
        <f>AV57/AV58</f>
        <v>3.2807502964534185</v>
      </c>
      <c r="AX57" s="53">
        <f>FINV(AX52,AT57,AT58)</f>
        <v>2.4752774088696223</v>
      </c>
      <c r="AY57" s="53">
        <f>FINV(AY52,AT57,AT58)</f>
        <v>3.5400845421240663</v>
      </c>
      <c r="AZ57" s="2" t="str">
        <f>IF(AW57&gt;AY57,"**",IF(AW57&gt;AX57,"*","TN"))</f>
        <v>*</v>
      </c>
      <c r="BA57" s="2" t="str">
        <f t="shared" si="19"/>
        <v>Nyata</v>
      </c>
    </row>
    <row r="58" spans="1:53" ht="15.5" x14ac:dyDescent="0.3">
      <c r="A58" s="73"/>
      <c r="B58" s="75"/>
      <c r="C58" s="21" t="s">
        <v>13</v>
      </c>
      <c r="D58" s="1">
        <v>15</v>
      </c>
      <c r="E58" s="1">
        <v>16</v>
      </c>
      <c r="F58" s="1">
        <v>12</v>
      </c>
      <c r="G58" s="1">
        <v>10</v>
      </c>
      <c r="H58" s="1">
        <v>14</v>
      </c>
      <c r="I58" s="1">
        <v>14</v>
      </c>
      <c r="J58" s="1">
        <v>15</v>
      </c>
      <c r="K58" s="1">
        <v>17</v>
      </c>
      <c r="L58" s="1">
        <v>14</v>
      </c>
      <c r="M58" s="1">
        <v>15</v>
      </c>
      <c r="N58" s="1">
        <v>14</v>
      </c>
      <c r="O58" s="1">
        <v>12</v>
      </c>
      <c r="P58" s="22">
        <f t="shared" si="20"/>
        <v>168</v>
      </c>
      <c r="Q58" s="53">
        <f t="shared" si="21"/>
        <v>14</v>
      </c>
      <c r="S58" s="6" t="s">
        <v>50</v>
      </c>
      <c r="T58" s="51">
        <f>(SUMSQ(W56:Y56)/(12*3))-T55</f>
        <v>112.79629629629198</v>
      </c>
      <c r="AA58" s="51"/>
      <c r="AC58" s="3" t="s">
        <v>33</v>
      </c>
      <c r="AD58" s="2">
        <f>(3*3*12)-1</f>
        <v>107</v>
      </c>
      <c r="AE58" s="53">
        <f>T56</f>
        <v>2819.6296296296277</v>
      </c>
      <c r="AF58" s="53"/>
      <c r="AG58" s="53"/>
      <c r="AH58" s="53"/>
      <c r="AI58" s="53"/>
      <c r="AJ58" s="2"/>
      <c r="AK58" s="2"/>
      <c r="AM58" s="60" t="s">
        <v>12</v>
      </c>
      <c r="AN58" s="53">
        <v>15.166666666666666</v>
      </c>
      <c r="AO58" s="53" t="s">
        <v>93</v>
      </c>
      <c r="AP58" s="53">
        <f>AN58+AN54</f>
        <v>19.572923602250363</v>
      </c>
      <c r="AS58" s="3" t="s">
        <v>70</v>
      </c>
      <c r="AT58" s="2">
        <f>AT59-AT53-AT54</f>
        <v>88</v>
      </c>
      <c r="AU58" s="53">
        <f>AU59-AU53-AU54</f>
        <v>1030.703703703708</v>
      </c>
      <c r="AV58" s="53">
        <f t="shared" si="18"/>
        <v>11.712542087542136</v>
      </c>
      <c r="AW58" s="53"/>
      <c r="AX58" s="53"/>
      <c r="AY58" s="53"/>
      <c r="AZ58" s="2"/>
      <c r="BA58" s="2"/>
    </row>
    <row r="59" spans="1:53" ht="15.5" x14ac:dyDescent="0.3">
      <c r="A59" s="73"/>
      <c r="B59" s="75"/>
      <c r="C59" s="21" t="s">
        <v>14</v>
      </c>
      <c r="D59" s="1">
        <v>13</v>
      </c>
      <c r="E59" s="1">
        <v>12</v>
      </c>
      <c r="F59" s="1">
        <v>20</v>
      </c>
      <c r="G59" s="1">
        <v>20</v>
      </c>
      <c r="H59" s="1">
        <v>13</v>
      </c>
      <c r="I59" s="1">
        <v>22</v>
      </c>
      <c r="J59" s="1">
        <v>15</v>
      </c>
      <c r="K59" s="1">
        <v>15</v>
      </c>
      <c r="L59" s="1">
        <v>12</v>
      </c>
      <c r="M59" s="1">
        <v>13</v>
      </c>
      <c r="N59" s="1">
        <v>14</v>
      </c>
      <c r="O59" s="1">
        <v>17</v>
      </c>
      <c r="P59" s="22">
        <f t="shared" si="20"/>
        <v>186</v>
      </c>
      <c r="Q59" s="53">
        <f t="shared" si="21"/>
        <v>15.5</v>
      </c>
      <c r="S59" s="6" t="s">
        <v>49</v>
      </c>
      <c r="T59" s="51">
        <f>(SUMSQ(Z53:Z55)/(12*3))-T55</f>
        <v>1406.1296296296277</v>
      </c>
      <c r="AA59" s="51"/>
      <c r="AE59" s="51"/>
      <c r="AF59" s="51"/>
      <c r="AG59" s="51"/>
      <c r="AH59" s="51"/>
      <c r="AI59" s="51"/>
      <c r="AM59" s="60" t="s">
        <v>14</v>
      </c>
      <c r="AN59" s="53">
        <v>15.5</v>
      </c>
      <c r="AO59" s="53" t="s">
        <v>93</v>
      </c>
      <c r="AP59" s="53">
        <f>AN59+AN54</f>
        <v>19.906256935583698</v>
      </c>
      <c r="AS59" s="3" t="s">
        <v>33</v>
      </c>
      <c r="AT59" s="2">
        <f>(3*3*12)-1</f>
        <v>107</v>
      </c>
      <c r="AU59" s="53">
        <f>SUMSQ(D54:O62)-AT62</f>
        <v>2819.6296296296277</v>
      </c>
      <c r="AV59" s="53"/>
      <c r="AW59" s="53"/>
      <c r="AX59" s="53"/>
      <c r="AY59" s="53"/>
      <c r="AZ59" s="2"/>
      <c r="BA59" s="2"/>
    </row>
    <row r="60" spans="1:53" ht="15.5" x14ac:dyDescent="0.3">
      <c r="A60" s="73"/>
      <c r="B60" s="75"/>
      <c r="C60" s="21" t="s">
        <v>15</v>
      </c>
      <c r="D60" s="1">
        <v>18</v>
      </c>
      <c r="E60" s="1">
        <v>22</v>
      </c>
      <c r="F60" s="1">
        <v>22</v>
      </c>
      <c r="G60" s="1">
        <v>17</v>
      </c>
      <c r="H60" s="1">
        <v>15</v>
      </c>
      <c r="I60" s="1">
        <v>24</v>
      </c>
      <c r="J60" s="1">
        <v>20</v>
      </c>
      <c r="K60" s="1">
        <v>26</v>
      </c>
      <c r="L60" s="1">
        <v>23</v>
      </c>
      <c r="M60" s="1">
        <v>19</v>
      </c>
      <c r="N60" s="1">
        <v>21</v>
      </c>
      <c r="O60" s="1">
        <v>22</v>
      </c>
      <c r="P60" s="22">
        <f t="shared" si="20"/>
        <v>249</v>
      </c>
      <c r="Q60" s="53">
        <f t="shared" si="21"/>
        <v>20.75</v>
      </c>
      <c r="S60" s="6" t="s">
        <v>51</v>
      </c>
      <c r="T60" s="51">
        <f>(SUMSQ(W53:Y55)/(12))-T55-T58-T59</f>
        <v>153.70370370370802</v>
      </c>
      <c r="AA60" s="51"/>
      <c r="AE60" s="51"/>
      <c r="AF60" s="51"/>
      <c r="AG60" s="51"/>
      <c r="AH60" s="51"/>
      <c r="AI60" s="51"/>
      <c r="AM60" s="60" t="s">
        <v>9</v>
      </c>
      <c r="AN60" s="53">
        <v>20</v>
      </c>
      <c r="AO60" s="53" t="s">
        <v>94</v>
      </c>
      <c r="AP60" s="53">
        <f>AN60+AN54</f>
        <v>24.406256935583698</v>
      </c>
    </row>
    <row r="61" spans="1:53" ht="15.5" x14ac:dyDescent="0.3">
      <c r="A61" s="73"/>
      <c r="B61" s="75"/>
      <c r="C61" s="21" t="s">
        <v>16</v>
      </c>
      <c r="D61" s="1">
        <v>26</v>
      </c>
      <c r="E61" s="1">
        <v>25</v>
      </c>
      <c r="F61" s="1">
        <v>21</v>
      </c>
      <c r="G61" s="1">
        <v>15</v>
      </c>
      <c r="H61" s="1">
        <v>19</v>
      </c>
      <c r="I61" s="1">
        <v>17</v>
      </c>
      <c r="J61" s="1">
        <v>26</v>
      </c>
      <c r="K61" s="1">
        <v>25</v>
      </c>
      <c r="L61" s="1">
        <v>24</v>
      </c>
      <c r="M61" s="1">
        <v>12</v>
      </c>
      <c r="N61" s="1">
        <v>22</v>
      </c>
      <c r="O61" s="1">
        <v>11</v>
      </c>
      <c r="P61" s="22">
        <f t="shared" si="20"/>
        <v>243</v>
      </c>
      <c r="Q61" s="53">
        <f t="shared" si="21"/>
        <v>20.25</v>
      </c>
      <c r="S61" s="6" t="s">
        <v>52</v>
      </c>
      <c r="T61" s="51">
        <f>T56-T57-T58-T59-T60</f>
        <v>1030.703703703708</v>
      </c>
      <c r="AA61" s="51"/>
      <c r="AE61" s="51"/>
      <c r="AF61" s="51"/>
      <c r="AG61" s="51"/>
      <c r="AH61" s="51"/>
      <c r="AI61" s="51"/>
      <c r="AM61" s="60" t="s">
        <v>16</v>
      </c>
      <c r="AN61" s="53">
        <v>20.25</v>
      </c>
      <c r="AO61" s="53" t="s">
        <v>94</v>
      </c>
      <c r="AP61" s="53">
        <f>AN61+AN54</f>
        <v>24.656256935583698</v>
      </c>
    </row>
    <row r="62" spans="1:53" ht="15.5" x14ac:dyDescent="0.3">
      <c r="A62" s="73"/>
      <c r="B62" s="75"/>
      <c r="C62" s="21" t="s">
        <v>17</v>
      </c>
      <c r="D62" s="1">
        <v>20</v>
      </c>
      <c r="E62" s="1">
        <v>22</v>
      </c>
      <c r="F62" s="1">
        <v>34</v>
      </c>
      <c r="G62" s="1">
        <v>20</v>
      </c>
      <c r="H62" s="1">
        <v>25</v>
      </c>
      <c r="I62" s="1">
        <v>19</v>
      </c>
      <c r="J62" s="1">
        <v>20</v>
      </c>
      <c r="K62" s="1">
        <v>26</v>
      </c>
      <c r="L62" s="1">
        <v>29</v>
      </c>
      <c r="M62" s="1">
        <v>21</v>
      </c>
      <c r="N62" s="1">
        <v>20</v>
      </c>
      <c r="O62" s="1">
        <v>19</v>
      </c>
      <c r="P62" s="22">
        <f t="shared" si="20"/>
        <v>275</v>
      </c>
      <c r="Q62" s="53">
        <f>AVERAGE(D62:O62)</f>
        <v>22.916666666666668</v>
      </c>
      <c r="AA62" s="51"/>
      <c r="AE62" s="51"/>
      <c r="AF62" s="51"/>
      <c r="AG62" s="51"/>
      <c r="AH62" s="51"/>
      <c r="AI62" s="51"/>
      <c r="AM62" s="60" t="s">
        <v>15</v>
      </c>
      <c r="AN62" s="53">
        <v>20.75</v>
      </c>
      <c r="AO62" s="53" t="s">
        <v>101</v>
      </c>
      <c r="AP62" s="53">
        <f>AN62+AN54</f>
        <v>25.156256935583698</v>
      </c>
      <c r="AS62" s="2" t="s">
        <v>46</v>
      </c>
      <c r="AT62" s="53">
        <f>P63^2/(3*3*12)</f>
        <v>42562.370370370372</v>
      </c>
    </row>
    <row r="63" spans="1:53" x14ac:dyDescent="0.3">
      <c r="A63" s="73"/>
      <c r="B63" s="75"/>
      <c r="C63" s="20" t="s">
        <v>33</v>
      </c>
      <c r="D63" s="23">
        <f>SUM(D54:D62)</f>
        <v>169</v>
      </c>
      <c r="E63" s="23">
        <f t="shared" ref="E63:O63" si="22">SUM(E54:E62)</f>
        <v>179</v>
      </c>
      <c r="F63" s="23">
        <f t="shared" si="22"/>
        <v>195</v>
      </c>
      <c r="G63" s="23">
        <f t="shared" si="22"/>
        <v>177</v>
      </c>
      <c r="H63" s="23">
        <f t="shared" si="22"/>
        <v>177</v>
      </c>
      <c r="I63" s="23">
        <f t="shared" si="22"/>
        <v>187</v>
      </c>
      <c r="J63" s="23">
        <f t="shared" si="22"/>
        <v>180</v>
      </c>
      <c r="K63" s="23">
        <f t="shared" si="22"/>
        <v>193</v>
      </c>
      <c r="L63" s="23">
        <f t="shared" si="22"/>
        <v>184</v>
      </c>
      <c r="M63" s="23">
        <f t="shared" si="22"/>
        <v>170</v>
      </c>
      <c r="N63" s="23">
        <f t="shared" si="22"/>
        <v>168</v>
      </c>
      <c r="O63" s="23">
        <f t="shared" si="22"/>
        <v>165</v>
      </c>
      <c r="P63" s="22">
        <f>SUM(D63:O63)</f>
        <v>2144</v>
      </c>
      <c r="Q63" s="53"/>
      <c r="AA63" s="51"/>
      <c r="AE63" s="51"/>
      <c r="AF63" s="51"/>
      <c r="AG63" s="51"/>
      <c r="AH63" s="51"/>
      <c r="AI63" s="51"/>
      <c r="AM63" s="60" t="s">
        <v>17</v>
      </c>
      <c r="AN63" s="53">
        <v>22.916666666666668</v>
      </c>
      <c r="AO63" s="53" t="s">
        <v>101</v>
      </c>
      <c r="AP63" s="53">
        <f>AN63+AN54</f>
        <v>27.322923602250363</v>
      </c>
    </row>
    <row r="64" spans="1:53" x14ac:dyDescent="0.3">
      <c r="A64" s="66"/>
      <c r="B64" s="76"/>
      <c r="C64" s="20" t="s">
        <v>32</v>
      </c>
      <c r="D64" s="53">
        <f>AVERAGE(D54:D62)</f>
        <v>18.777777777777779</v>
      </c>
      <c r="E64" s="53">
        <f t="shared" ref="E64:O64" si="23">AVERAGE(E54:E62)</f>
        <v>19.888888888888889</v>
      </c>
      <c r="F64" s="53">
        <f t="shared" si="23"/>
        <v>21.666666666666668</v>
      </c>
      <c r="G64" s="53">
        <f t="shared" si="23"/>
        <v>19.666666666666668</v>
      </c>
      <c r="H64" s="53">
        <f t="shared" si="23"/>
        <v>19.666666666666668</v>
      </c>
      <c r="I64" s="53">
        <f t="shared" si="23"/>
        <v>20.777777777777779</v>
      </c>
      <c r="J64" s="53">
        <f t="shared" si="23"/>
        <v>20</v>
      </c>
      <c r="K64" s="53">
        <f t="shared" si="23"/>
        <v>21.444444444444443</v>
      </c>
      <c r="L64" s="53">
        <f t="shared" si="23"/>
        <v>20.444444444444443</v>
      </c>
      <c r="M64" s="53">
        <f t="shared" si="23"/>
        <v>18.888888888888889</v>
      </c>
      <c r="N64" s="53">
        <f t="shared" si="23"/>
        <v>18.666666666666668</v>
      </c>
      <c r="O64" s="53">
        <f t="shared" si="23"/>
        <v>18.333333333333332</v>
      </c>
      <c r="P64" s="2"/>
      <c r="Q64" s="53"/>
      <c r="AA64" s="51"/>
      <c r="AE64" s="51"/>
      <c r="AF64" s="51"/>
      <c r="AG64" s="51"/>
      <c r="AH64" s="51"/>
      <c r="AI64" s="51"/>
      <c r="AM64" s="60" t="s">
        <v>11</v>
      </c>
      <c r="AN64" s="53">
        <v>25</v>
      </c>
      <c r="AO64" s="53" t="s">
        <v>102</v>
      </c>
      <c r="AP64" s="53">
        <f>AN64+AN54</f>
        <v>29.406256935583698</v>
      </c>
    </row>
    <row r="65" spans="1:53" x14ac:dyDescent="0.3">
      <c r="Q65" s="51"/>
      <c r="AA65" s="51"/>
      <c r="AE65" s="51"/>
      <c r="AF65" s="51"/>
      <c r="AG65" s="51"/>
      <c r="AH65" s="51"/>
      <c r="AI65" s="51"/>
      <c r="AM65" s="60" t="s">
        <v>10</v>
      </c>
      <c r="AN65" s="53">
        <v>25.083333333333332</v>
      </c>
      <c r="AO65" s="53" t="s">
        <v>102</v>
      </c>
      <c r="AP65" s="53">
        <f>AN65+AN54</f>
        <v>29.489590268917027</v>
      </c>
    </row>
    <row r="66" spans="1:53" x14ac:dyDescent="0.3">
      <c r="Q66" s="51"/>
      <c r="AA66" s="51"/>
      <c r="AE66" s="51"/>
      <c r="AF66" s="51"/>
      <c r="AG66" s="51"/>
      <c r="AH66" s="51"/>
      <c r="AI66" s="51"/>
      <c r="AM66" s="51"/>
      <c r="AN66" s="51"/>
      <c r="AO66" s="51"/>
      <c r="AP66" s="51"/>
      <c r="AS66" s="6" t="s">
        <v>97</v>
      </c>
    </row>
    <row r="67" spans="1:53" x14ac:dyDescent="0.3">
      <c r="A67" s="3" t="s">
        <v>18</v>
      </c>
      <c r="B67" s="3" t="s">
        <v>20</v>
      </c>
      <c r="C67" s="87" t="s">
        <v>0</v>
      </c>
      <c r="D67" s="69" t="s">
        <v>1</v>
      </c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5" t="s">
        <v>33</v>
      </c>
      <c r="Q67" s="67" t="s">
        <v>32</v>
      </c>
      <c r="V67" s="65" t="s">
        <v>53</v>
      </c>
      <c r="W67" s="70" t="s">
        <v>54</v>
      </c>
      <c r="X67" s="71"/>
      <c r="Y67" s="72"/>
      <c r="Z67" s="65" t="s">
        <v>33</v>
      </c>
      <c r="AA67" s="67" t="s">
        <v>32</v>
      </c>
      <c r="AC67" s="65" t="s">
        <v>61</v>
      </c>
      <c r="AD67" s="65" t="s">
        <v>62</v>
      </c>
      <c r="AE67" s="67" t="s">
        <v>63</v>
      </c>
      <c r="AF67" s="67" t="s">
        <v>64</v>
      </c>
      <c r="AG67" s="67" t="s">
        <v>65</v>
      </c>
      <c r="AH67" s="64" t="s">
        <v>66</v>
      </c>
      <c r="AI67" s="64"/>
      <c r="AJ67" s="65" t="s">
        <v>67</v>
      </c>
      <c r="AK67" s="65" t="s">
        <v>68</v>
      </c>
      <c r="AM67" s="80" t="s">
        <v>80</v>
      </c>
      <c r="AN67" s="80"/>
      <c r="AO67" s="51"/>
      <c r="AP67" s="51"/>
      <c r="AS67" s="65" t="s">
        <v>61</v>
      </c>
      <c r="AT67" s="65" t="s">
        <v>62</v>
      </c>
      <c r="AU67" s="65" t="s">
        <v>63</v>
      </c>
      <c r="AV67" s="65" t="s">
        <v>64</v>
      </c>
      <c r="AW67" s="65" t="s">
        <v>65</v>
      </c>
      <c r="AX67" s="69" t="s">
        <v>66</v>
      </c>
      <c r="AY67" s="69"/>
      <c r="AZ67" s="65" t="s">
        <v>67</v>
      </c>
      <c r="BA67" s="65" t="s">
        <v>68</v>
      </c>
    </row>
    <row r="68" spans="1:53" x14ac:dyDescent="0.3">
      <c r="A68" s="65">
        <v>7</v>
      </c>
      <c r="B68" s="74" t="s">
        <v>40</v>
      </c>
      <c r="C68" s="87"/>
      <c r="D68" s="69" t="s">
        <v>2</v>
      </c>
      <c r="E68" s="69"/>
      <c r="F68" s="69"/>
      <c r="G68" s="69"/>
      <c r="H68" s="69" t="s">
        <v>7</v>
      </c>
      <c r="I68" s="69"/>
      <c r="J68" s="69"/>
      <c r="K68" s="69"/>
      <c r="L68" s="69" t="s">
        <v>8</v>
      </c>
      <c r="M68" s="69"/>
      <c r="N68" s="69"/>
      <c r="O68" s="69"/>
      <c r="P68" s="73"/>
      <c r="Q68" s="77"/>
      <c r="S68" s="6" t="s">
        <v>71</v>
      </c>
      <c r="T68" s="6">
        <v>12</v>
      </c>
      <c r="V68" s="66"/>
      <c r="W68" s="3" t="s">
        <v>55</v>
      </c>
      <c r="X68" s="3" t="s">
        <v>56</v>
      </c>
      <c r="Y68" s="3" t="s">
        <v>57</v>
      </c>
      <c r="Z68" s="66"/>
      <c r="AA68" s="68"/>
      <c r="AC68" s="66"/>
      <c r="AD68" s="66"/>
      <c r="AE68" s="68"/>
      <c r="AF68" s="68"/>
      <c r="AG68" s="68"/>
      <c r="AH68" s="59">
        <v>0.05</v>
      </c>
      <c r="AI68" s="59">
        <v>0.01</v>
      </c>
      <c r="AJ68" s="66"/>
      <c r="AK68" s="66"/>
      <c r="AM68" s="54" t="s">
        <v>74</v>
      </c>
      <c r="AN68" s="54">
        <f>SQRT(AF73/12)</f>
        <v>1.0063368943875668</v>
      </c>
      <c r="AO68" s="56"/>
      <c r="AP68" s="55" t="s">
        <v>88</v>
      </c>
      <c r="AS68" s="66"/>
      <c r="AT68" s="66"/>
      <c r="AU68" s="66"/>
      <c r="AV68" s="66"/>
      <c r="AW68" s="66"/>
      <c r="AX68" s="42">
        <v>0.05</v>
      </c>
      <c r="AY68" s="42">
        <v>0.01</v>
      </c>
      <c r="AZ68" s="66"/>
      <c r="BA68" s="66"/>
    </row>
    <row r="69" spans="1:53" x14ac:dyDescent="0.3">
      <c r="A69" s="73"/>
      <c r="B69" s="75"/>
      <c r="C69" s="87"/>
      <c r="D69" s="18" t="s">
        <v>3</v>
      </c>
      <c r="E69" s="18" t="s">
        <v>4</v>
      </c>
      <c r="F69" s="18" t="s">
        <v>5</v>
      </c>
      <c r="G69" s="18" t="s">
        <v>6</v>
      </c>
      <c r="H69" s="18" t="s">
        <v>3</v>
      </c>
      <c r="I69" s="18" t="s">
        <v>4</v>
      </c>
      <c r="J69" s="18" t="s">
        <v>5</v>
      </c>
      <c r="K69" s="18" t="s">
        <v>6</v>
      </c>
      <c r="L69" s="18" t="s">
        <v>3</v>
      </c>
      <c r="M69" s="18" t="s">
        <v>4</v>
      </c>
      <c r="N69" s="18" t="s">
        <v>5</v>
      </c>
      <c r="O69" s="18" t="s">
        <v>6</v>
      </c>
      <c r="P69" s="66"/>
      <c r="Q69" s="68"/>
      <c r="S69" s="6" t="s">
        <v>44</v>
      </c>
      <c r="T69" s="6">
        <v>3</v>
      </c>
      <c r="V69" s="3" t="s">
        <v>58</v>
      </c>
      <c r="W69" s="2">
        <f>SUM(D70:O70)</f>
        <v>218</v>
      </c>
      <c r="X69" s="2">
        <f>SUM(D71:O71)</f>
        <v>285</v>
      </c>
      <c r="Y69" s="2">
        <f>SUM(D72:O72)</f>
        <v>286</v>
      </c>
      <c r="Z69" s="2">
        <f>SUM(W69:Y69)</f>
        <v>789</v>
      </c>
      <c r="AA69" s="53">
        <f>AVERAGE(W69:Y69)</f>
        <v>263</v>
      </c>
      <c r="AC69" s="3" t="s">
        <v>43</v>
      </c>
      <c r="AD69" s="2">
        <f>12-1</f>
        <v>11</v>
      </c>
      <c r="AE69" s="53">
        <f>T73</f>
        <v>110.324074074073</v>
      </c>
      <c r="AF69" s="53">
        <f>AE69/AD69</f>
        <v>10.029461279461181</v>
      </c>
      <c r="AG69" s="53">
        <f>AF69/AF73</f>
        <v>0.82529567611559485</v>
      </c>
      <c r="AH69" s="53">
        <f>FINV(AH68,AD69,AD73)</f>
        <v>1.8991710184693407</v>
      </c>
      <c r="AI69" s="53">
        <f>FINV(AI68,AD69,AD73)</f>
        <v>2.4560580535880434</v>
      </c>
      <c r="AJ69" s="30" t="s">
        <v>95</v>
      </c>
      <c r="AK69" s="2"/>
      <c r="AM69" s="53" t="s">
        <v>75</v>
      </c>
      <c r="AN69" s="54">
        <v>4.46</v>
      </c>
      <c r="AO69" s="51"/>
      <c r="AP69" s="51"/>
      <c r="AS69" s="3" t="s">
        <v>43</v>
      </c>
      <c r="AT69" s="2">
        <f>12-1</f>
        <v>11</v>
      </c>
      <c r="AU69" s="6">
        <f>SUMSQ(D79:O79)/(3*3)-AT78</f>
        <v>110.324074074073</v>
      </c>
      <c r="AV69" s="53">
        <f>AU69/AT69</f>
        <v>10.029461279461181</v>
      </c>
      <c r="AW69" s="53">
        <f>AV69/AV74</f>
        <v>0.82529567611559485</v>
      </c>
      <c r="AX69" s="53">
        <f>FINV(AX68,AT69,AT74)</f>
        <v>1.8991710184693407</v>
      </c>
      <c r="AY69" s="53">
        <f>FINV(AY68,AT69,AT74)</f>
        <v>2.4560580535880434</v>
      </c>
      <c r="AZ69" s="2" t="str">
        <f>IF(AW69&gt;AY69,"**",IF(AW69&gt;AX69,"*","TN"))</f>
        <v>TN</v>
      </c>
      <c r="BA69" s="2" t="str">
        <f>IF(AZ69="TN","Tidak Nyata",IF(AZ69="*","Nyata",IF(AZ69="**","Sangat Nyata",0)))</f>
        <v>Tidak Nyata</v>
      </c>
    </row>
    <row r="70" spans="1:53" ht="15.5" x14ac:dyDescent="0.3">
      <c r="A70" s="73"/>
      <c r="B70" s="75"/>
      <c r="C70" s="21" t="s">
        <v>9</v>
      </c>
      <c r="D70" s="1">
        <v>8</v>
      </c>
      <c r="E70" s="1">
        <v>23</v>
      </c>
      <c r="F70" s="1">
        <v>18</v>
      </c>
      <c r="G70" s="1">
        <v>22</v>
      </c>
      <c r="H70" s="1">
        <v>26</v>
      </c>
      <c r="I70" s="1">
        <v>18</v>
      </c>
      <c r="J70" s="1">
        <v>10</v>
      </c>
      <c r="K70" s="1">
        <v>18</v>
      </c>
      <c r="L70" s="1">
        <v>19</v>
      </c>
      <c r="M70" s="1">
        <v>22</v>
      </c>
      <c r="N70" s="1">
        <v>10</v>
      </c>
      <c r="O70" s="1">
        <v>24</v>
      </c>
      <c r="P70" s="22">
        <f>SUM(D70:O70)</f>
        <v>218</v>
      </c>
      <c r="Q70" s="53">
        <f>AVERAGE(D70:O70)</f>
        <v>18.166666666666668</v>
      </c>
      <c r="S70" s="6" t="s">
        <v>45</v>
      </c>
      <c r="T70" s="6">
        <v>3</v>
      </c>
      <c r="V70" s="3" t="s">
        <v>59</v>
      </c>
      <c r="W70" s="2">
        <f>SUM(D73:O73)</f>
        <v>197</v>
      </c>
      <c r="X70" s="2">
        <f>SUM(D74:O74)</f>
        <v>180</v>
      </c>
      <c r="Y70" s="2">
        <f>SUM(D75:O75)</f>
        <v>200</v>
      </c>
      <c r="Z70" s="2">
        <f>SUM(W70:Y70)</f>
        <v>577</v>
      </c>
      <c r="AA70" s="53">
        <f>AVERAGE(W70:Y70)</f>
        <v>192.33333333333334</v>
      </c>
      <c r="AC70" s="3" t="s">
        <v>45</v>
      </c>
      <c r="AD70" s="2">
        <f>3-1</f>
        <v>2</v>
      </c>
      <c r="AE70" s="53">
        <f>T74</f>
        <v>147.62962962962774</v>
      </c>
      <c r="AF70" s="53">
        <f>AE70/AD70</f>
        <v>73.814814814813872</v>
      </c>
      <c r="AG70" s="53">
        <f>AF70/AF73</f>
        <v>6.0740099395659701</v>
      </c>
      <c r="AH70" s="53">
        <f>FINV(AH68,AD70,AD73)</f>
        <v>3.1000686386371408</v>
      </c>
      <c r="AI70" s="53">
        <f>FINV(AI68,AD70,AD73)</f>
        <v>4.8547979993760721</v>
      </c>
      <c r="AJ70" s="30" t="s">
        <v>72</v>
      </c>
      <c r="AK70" s="2"/>
      <c r="AM70" s="53" t="s">
        <v>76</v>
      </c>
      <c r="AN70" s="54">
        <f>AN69*AN68</f>
        <v>4.4882625489685477</v>
      </c>
      <c r="AO70" s="51"/>
      <c r="AP70" s="51"/>
      <c r="AS70" s="3" t="s">
        <v>98</v>
      </c>
      <c r="AT70" s="2">
        <f>3*3-1</f>
        <v>8</v>
      </c>
      <c r="AU70" s="53">
        <f>SUMSQ(P70:P78)/12-AT78</f>
        <v>966.574074074073</v>
      </c>
      <c r="AV70" s="53">
        <f t="shared" ref="AV70:AV74" si="24">AU70/AT70</f>
        <v>120.82175925925912</v>
      </c>
      <c r="AW70" s="53">
        <f>AV70/AV74</f>
        <v>9.9420769190808294</v>
      </c>
      <c r="AX70" s="53">
        <f>FINV(AX68,AT70,AT74)</f>
        <v>2.0454143150341193</v>
      </c>
      <c r="AY70" s="53">
        <f>FINV(AY68,AT70,AT74)</f>
        <v>2.720181875728696</v>
      </c>
      <c r="AZ70" s="2" t="str">
        <f>IF(AW70&gt;AY70,"**",IF(AW70&gt;AX70,"*","TN"))</f>
        <v>**</v>
      </c>
      <c r="BA70" s="2" t="str">
        <f t="shared" ref="BA70:BA73" si="25">IF(AZ70="TN","Tidak Nyata",IF(AZ70="*","Nyata",IF(AZ70="**","Sangat Nyata",0)))</f>
        <v>Sangat Nyata</v>
      </c>
    </row>
    <row r="71" spans="1:53" x14ac:dyDescent="0.3">
      <c r="A71" s="73"/>
      <c r="B71" s="75"/>
      <c r="C71" s="21" t="s">
        <v>10</v>
      </c>
      <c r="D71" s="2">
        <v>22</v>
      </c>
      <c r="E71" s="2">
        <v>23</v>
      </c>
      <c r="F71" s="2">
        <v>24</v>
      </c>
      <c r="G71" s="2">
        <v>25</v>
      </c>
      <c r="H71" s="2">
        <v>24</v>
      </c>
      <c r="I71" s="2">
        <v>25</v>
      </c>
      <c r="J71" s="2">
        <v>24</v>
      </c>
      <c r="K71" s="2">
        <v>23</v>
      </c>
      <c r="L71" s="2">
        <v>22</v>
      </c>
      <c r="M71" s="2">
        <v>24</v>
      </c>
      <c r="N71" s="2">
        <v>25</v>
      </c>
      <c r="O71" s="2">
        <v>24</v>
      </c>
      <c r="P71" s="22">
        <f t="shared" ref="P71:P79" si="26">SUM(D71:O71)</f>
        <v>285</v>
      </c>
      <c r="Q71" s="53">
        <f t="shared" ref="Q71:Q78" si="27">AVERAGE(D71:O71)</f>
        <v>23.75</v>
      </c>
      <c r="S71" s="6" t="s">
        <v>46</v>
      </c>
      <c r="T71" s="51">
        <f>(P79^2)/(12*3*3)</f>
        <v>40406.675925925927</v>
      </c>
      <c r="V71" s="3" t="s">
        <v>60</v>
      </c>
      <c r="W71" s="2">
        <f>SUM(D76:O76)</f>
        <v>226</v>
      </c>
      <c r="X71" s="2">
        <f>SUM(D77:O77)</f>
        <v>240</v>
      </c>
      <c r="Y71" s="2">
        <f>SUM(D78:O78)</f>
        <v>257</v>
      </c>
      <c r="Z71" s="2">
        <f>SUM(W71:Y71)</f>
        <v>723</v>
      </c>
      <c r="AA71" s="53">
        <f>AVERAGE(W71:Y71)</f>
        <v>241</v>
      </c>
      <c r="AC71" s="3" t="s">
        <v>44</v>
      </c>
      <c r="AD71" s="2">
        <f>3-1</f>
        <v>2</v>
      </c>
      <c r="AE71" s="53">
        <f>T75</f>
        <v>653.85185185185401</v>
      </c>
      <c r="AF71" s="53">
        <f>AE71/AD71</f>
        <v>326.925925925927</v>
      </c>
      <c r="AG71" s="53">
        <f>AF71/AF73</f>
        <v>26.901799165353577</v>
      </c>
      <c r="AH71" s="53">
        <f>FINV(AH68,AD71,AD73)</f>
        <v>3.1000686386371408</v>
      </c>
      <c r="AI71" s="53">
        <f>FINV(AI68,AD71,AD73)</f>
        <v>4.8547979993760721</v>
      </c>
      <c r="AJ71" s="30" t="s">
        <v>72</v>
      </c>
      <c r="AK71" s="2"/>
      <c r="AM71" s="51"/>
      <c r="AN71" s="51"/>
      <c r="AO71" s="51"/>
      <c r="AP71" s="51"/>
      <c r="AS71" s="3" t="s">
        <v>45</v>
      </c>
      <c r="AT71" s="2">
        <f>3-1</f>
        <v>2</v>
      </c>
      <c r="AU71" s="53">
        <f>SUMSQ(W72:Y72)/(3*12)-AT78</f>
        <v>147.62962962962774</v>
      </c>
      <c r="AV71" s="53">
        <f t="shared" si="24"/>
        <v>73.814814814813872</v>
      </c>
      <c r="AW71" s="53">
        <f>AV71/AV74</f>
        <v>6.0740099395659701</v>
      </c>
      <c r="AX71" s="53">
        <f>FINV(AX68,AT71,AT74)</f>
        <v>3.1000686386371408</v>
      </c>
      <c r="AY71" s="53">
        <f>FINV(AY68,AT71,AT74)</f>
        <v>4.8547979993760721</v>
      </c>
      <c r="AZ71" s="2" t="str">
        <f>IF(AW71&gt;AY71,"**",IF(AW71&gt;AX71,"*","TN"))</f>
        <v>**</v>
      </c>
      <c r="BA71" s="2" t="str">
        <f t="shared" si="25"/>
        <v>Sangat Nyata</v>
      </c>
    </row>
    <row r="72" spans="1:53" ht="15" customHeight="1" x14ac:dyDescent="0.3">
      <c r="A72" s="73"/>
      <c r="B72" s="75"/>
      <c r="C72" s="21" t="s">
        <v>11</v>
      </c>
      <c r="D72" s="2">
        <v>21</v>
      </c>
      <c r="E72" s="2">
        <v>25</v>
      </c>
      <c r="F72" s="2">
        <v>23</v>
      </c>
      <c r="G72" s="2">
        <v>26</v>
      </c>
      <c r="H72" s="2">
        <v>23</v>
      </c>
      <c r="I72" s="2">
        <v>25</v>
      </c>
      <c r="J72" s="2">
        <v>25</v>
      </c>
      <c r="K72" s="2">
        <v>23</v>
      </c>
      <c r="L72" s="2">
        <v>24</v>
      </c>
      <c r="M72" s="2">
        <v>23</v>
      </c>
      <c r="N72" s="2">
        <v>24</v>
      </c>
      <c r="O72" s="2">
        <v>24</v>
      </c>
      <c r="P72" s="22">
        <f t="shared" si="26"/>
        <v>286</v>
      </c>
      <c r="Q72" s="53">
        <f t="shared" si="27"/>
        <v>23.833333333333332</v>
      </c>
      <c r="S72" s="6" t="s">
        <v>47</v>
      </c>
      <c r="T72" s="51">
        <f>SUMSQ(D70:O78)-T71</f>
        <v>2146.324074074073</v>
      </c>
      <c r="V72" s="3" t="s">
        <v>33</v>
      </c>
      <c r="W72" s="2">
        <f>SUM(W69:W71)</f>
        <v>641</v>
      </c>
      <c r="X72" s="2">
        <f>SUM(X69:X71)</f>
        <v>705</v>
      </c>
      <c r="Y72" s="2">
        <f>SUM(Y69:Y71)</f>
        <v>743</v>
      </c>
      <c r="Z72" s="2">
        <f>SUM(W72:Y72)</f>
        <v>2089</v>
      </c>
      <c r="AA72" s="53">
        <f>AVERAGE(W72:Y72)</f>
        <v>696.33333333333337</v>
      </c>
      <c r="AC72" s="3" t="s">
        <v>69</v>
      </c>
      <c r="AD72" s="2">
        <f>(3-1)*(3-1)</f>
        <v>4</v>
      </c>
      <c r="AE72" s="53">
        <f>T76</f>
        <v>165.09259259259125</v>
      </c>
      <c r="AF72" s="53">
        <f>AE72/AD72</f>
        <v>41.273148148147811</v>
      </c>
      <c r="AG72" s="53">
        <f>AF72/AF73</f>
        <v>3.3962492857018862</v>
      </c>
      <c r="AH72" s="53">
        <f>FINV(AH68,AD72,AD73)</f>
        <v>2.4752774088696223</v>
      </c>
      <c r="AI72" s="53">
        <f>FINV(AI68,AD72,AD73)</f>
        <v>3.5400845421240663</v>
      </c>
      <c r="AJ72" s="30" t="s">
        <v>72</v>
      </c>
      <c r="AK72" s="2"/>
      <c r="AM72" s="54" t="s">
        <v>0</v>
      </c>
      <c r="AN72" s="54" t="s">
        <v>32</v>
      </c>
      <c r="AO72" s="54" t="s">
        <v>67</v>
      </c>
      <c r="AP72" s="54" t="s">
        <v>77</v>
      </c>
      <c r="AS72" s="3" t="s">
        <v>44</v>
      </c>
      <c r="AT72" s="2">
        <f>3-1</f>
        <v>2</v>
      </c>
      <c r="AU72" s="53">
        <f>SUMSQ(Z69:Z71)/(3*12)-AT78</f>
        <v>653.85185185185401</v>
      </c>
      <c r="AV72" s="53">
        <f t="shared" si="24"/>
        <v>326.925925925927</v>
      </c>
      <c r="AW72" s="53">
        <f>AV72/AV74</f>
        <v>26.901799165353577</v>
      </c>
      <c r="AX72" s="53">
        <f>FINV(AX68,AT72,AT74)</f>
        <v>3.1000686386371408</v>
      </c>
      <c r="AY72" s="53">
        <f>FINV(AY68,AT72,AT74)</f>
        <v>4.8547979993760721</v>
      </c>
      <c r="AZ72" s="2" t="str">
        <f>IF(AW72&gt;AY72,"**",IF(AW72&gt;AX72,"*","TN"))</f>
        <v>**</v>
      </c>
      <c r="BA72" s="2" t="str">
        <f t="shared" si="25"/>
        <v>Sangat Nyata</v>
      </c>
    </row>
    <row r="73" spans="1:53" ht="15.5" x14ac:dyDescent="0.3">
      <c r="A73" s="73"/>
      <c r="B73" s="75"/>
      <c r="C73" s="21" t="s">
        <v>12</v>
      </c>
      <c r="D73" s="1">
        <v>17</v>
      </c>
      <c r="E73" s="1">
        <v>13</v>
      </c>
      <c r="F73" s="1">
        <v>17</v>
      </c>
      <c r="G73" s="1">
        <v>22</v>
      </c>
      <c r="H73" s="1">
        <v>19</v>
      </c>
      <c r="I73" s="1">
        <v>18</v>
      </c>
      <c r="J73" s="1">
        <v>18</v>
      </c>
      <c r="K73" s="1">
        <v>17</v>
      </c>
      <c r="L73" s="1">
        <v>14</v>
      </c>
      <c r="M73" s="1">
        <v>15</v>
      </c>
      <c r="N73" s="1">
        <v>14</v>
      </c>
      <c r="O73" s="1">
        <v>13</v>
      </c>
      <c r="P73" s="22">
        <f t="shared" si="26"/>
        <v>197</v>
      </c>
      <c r="Q73" s="53">
        <f t="shared" si="27"/>
        <v>16.416666666666668</v>
      </c>
      <c r="S73" s="6" t="s">
        <v>48</v>
      </c>
      <c r="T73" s="51">
        <f>(SUMSQ(D79:O79)/(3*3))-T71</f>
        <v>110.324074074073</v>
      </c>
      <c r="V73" s="3" t="s">
        <v>32</v>
      </c>
      <c r="W73" s="53">
        <f>AVERAGE(W69:W71)</f>
        <v>213.66666666666666</v>
      </c>
      <c r="X73" s="53">
        <f>AVERAGE(X69:X71)</f>
        <v>235</v>
      </c>
      <c r="Y73" s="53">
        <f>AVERAGE(Y69:Y71)</f>
        <v>247.66666666666666</v>
      </c>
      <c r="Z73" s="2"/>
      <c r="AA73" s="53"/>
      <c r="AC73" s="3" t="s">
        <v>70</v>
      </c>
      <c r="AD73" s="2">
        <f>((3*3)-1)*(12-1)</f>
        <v>88</v>
      </c>
      <c r="AE73" s="53">
        <f>T77</f>
        <v>1069.425925925927</v>
      </c>
      <c r="AF73" s="53">
        <f>AE73/AD73</f>
        <v>12.152567340067352</v>
      </c>
      <c r="AG73" s="53"/>
      <c r="AH73" s="53"/>
      <c r="AI73" s="53"/>
      <c r="AJ73" s="2"/>
      <c r="AK73" s="2"/>
      <c r="AM73" s="60" t="s">
        <v>13</v>
      </c>
      <c r="AN73" s="53">
        <v>15</v>
      </c>
      <c r="AO73" s="53" t="s">
        <v>93</v>
      </c>
      <c r="AP73" s="53">
        <f>AN73+$AN$70</f>
        <v>19.488262548968549</v>
      </c>
      <c r="AS73" s="3" t="s">
        <v>69</v>
      </c>
      <c r="AT73" s="2">
        <f>AT71*AT72</f>
        <v>4</v>
      </c>
      <c r="AU73" s="53">
        <f>AU70-AU71-AU72</f>
        <v>165.09259259259125</v>
      </c>
      <c r="AV73" s="53">
        <f t="shared" si="24"/>
        <v>41.273148148147811</v>
      </c>
      <c r="AW73" s="53">
        <f>AV73/AV74</f>
        <v>3.3962492857018862</v>
      </c>
      <c r="AX73" s="53">
        <f>FINV(AX68,AT73,AT74)</f>
        <v>2.4752774088696223</v>
      </c>
      <c r="AY73" s="53">
        <f>FINV(AY68,AT73,AT74)</f>
        <v>3.5400845421240663</v>
      </c>
      <c r="AZ73" s="2" t="str">
        <f>IF(AW73&gt;AY73,"**",IF(AW73&gt;AX73,"*","TN"))</f>
        <v>*</v>
      </c>
      <c r="BA73" s="2" t="str">
        <f t="shared" si="25"/>
        <v>Nyata</v>
      </c>
    </row>
    <row r="74" spans="1:53" ht="15.5" x14ac:dyDescent="0.3">
      <c r="A74" s="73"/>
      <c r="B74" s="75"/>
      <c r="C74" s="21" t="s">
        <v>13</v>
      </c>
      <c r="D74" s="1">
        <v>17</v>
      </c>
      <c r="E74" s="1">
        <v>18</v>
      </c>
      <c r="F74" s="1">
        <v>13</v>
      </c>
      <c r="G74" s="1">
        <v>13</v>
      </c>
      <c r="H74" s="1">
        <v>14</v>
      </c>
      <c r="I74" s="1">
        <v>15</v>
      </c>
      <c r="J74" s="1">
        <v>16</v>
      </c>
      <c r="K74" s="1">
        <v>17</v>
      </c>
      <c r="L74" s="1">
        <v>14</v>
      </c>
      <c r="M74" s="1">
        <v>15</v>
      </c>
      <c r="N74" s="1">
        <v>15</v>
      </c>
      <c r="O74" s="1">
        <v>13</v>
      </c>
      <c r="P74" s="22">
        <f t="shared" si="26"/>
        <v>180</v>
      </c>
      <c r="Q74" s="53">
        <f t="shared" si="27"/>
        <v>15</v>
      </c>
      <c r="S74" s="6" t="s">
        <v>50</v>
      </c>
      <c r="T74" s="51">
        <f>(SUMSQ(W72:Y72)/(12*3))-T71</f>
        <v>147.62962962962774</v>
      </c>
      <c r="AA74" s="51"/>
      <c r="AC74" s="3" t="s">
        <v>33</v>
      </c>
      <c r="AD74" s="2">
        <f>(3*3*12)-1</f>
        <v>107</v>
      </c>
      <c r="AE74" s="53">
        <f>T72</f>
        <v>2146.324074074073</v>
      </c>
      <c r="AF74" s="53"/>
      <c r="AG74" s="53"/>
      <c r="AH74" s="53"/>
      <c r="AI74" s="53"/>
      <c r="AJ74" s="2"/>
      <c r="AK74" s="2"/>
      <c r="AM74" s="60" t="s">
        <v>12</v>
      </c>
      <c r="AN74" s="53">
        <v>16.416666666666668</v>
      </c>
      <c r="AO74" s="53" t="s">
        <v>99</v>
      </c>
      <c r="AP74" s="53">
        <f t="shared" ref="AP74:AP81" si="28">AN74+$AN$70</f>
        <v>20.904929215635214</v>
      </c>
      <c r="AS74" s="3" t="s">
        <v>70</v>
      </c>
      <c r="AT74" s="2">
        <f>AT75-AT69-AT70</f>
        <v>88</v>
      </c>
      <c r="AU74" s="53">
        <f>AU75-AU69-AU70</f>
        <v>1069.425925925927</v>
      </c>
      <c r="AV74" s="53">
        <f t="shared" si="24"/>
        <v>12.152567340067352</v>
      </c>
      <c r="AW74" s="53"/>
      <c r="AX74" s="53"/>
      <c r="AY74" s="53"/>
      <c r="AZ74" s="2"/>
      <c r="BA74" s="2"/>
    </row>
    <row r="75" spans="1:53" ht="15.5" x14ac:dyDescent="0.3">
      <c r="A75" s="73"/>
      <c r="B75" s="75"/>
      <c r="C75" s="21" t="s">
        <v>14</v>
      </c>
      <c r="D75" s="1">
        <v>14</v>
      </c>
      <c r="E75" s="1">
        <v>13</v>
      </c>
      <c r="F75" s="1">
        <v>21</v>
      </c>
      <c r="G75" s="1">
        <v>20</v>
      </c>
      <c r="H75" s="1">
        <v>15</v>
      </c>
      <c r="I75" s="1">
        <v>23</v>
      </c>
      <c r="J75" s="1">
        <v>16</v>
      </c>
      <c r="K75" s="1">
        <v>17</v>
      </c>
      <c r="L75" s="1">
        <v>13</v>
      </c>
      <c r="M75" s="1">
        <v>14</v>
      </c>
      <c r="N75" s="1">
        <v>15</v>
      </c>
      <c r="O75" s="1">
        <v>19</v>
      </c>
      <c r="P75" s="22">
        <f t="shared" si="26"/>
        <v>200</v>
      </c>
      <c r="Q75" s="53">
        <f t="shared" si="27"/>
        <v>16.666666666666668</v>
      </c>
      <c r="S75" s="6" t="s">
        <v>49</v>
      </c>
      <c r="T75" s="51">
        <f>(SUMSQ(Z69:Z71)/(12*3))-T71</f>
        <v>653.85185185185401</v>
      </c>
      <c r="AA75" s="51"/>
      <c r="AE75" s="51"/>
      <c r="AF75" s="51"/>
      <c r="AG75" s="51"/>
      <c r="AH75" s="51"/>
      <c r="AI75" s="51"/>
      <c r="AM75" s="60" t="s">
        <v>14</v>
      </c>
      <c r="AN75" s="53">
        <v>16.666666666666668</v>
      </c>
      <c r="AO75" s="53" t="s">
        <v>99</v>
      </c>
      <c r="AP75" s="53">
        <f t="shared" si="28"/>
        <v>21.154929215635214</v>
      </c>
      <c r="AS75" s="3" t="s">
        <v>33</v>
      </c>
      <c r="AT75" s="2">
        <f>(3*3*12)-1</f>
        <v>107</v>
      </c>
      <c r="AU75" s="53">
        <f>SUMSQ(D70:O78)-AT78</f>
        <v>2146.324074074073</v>
      </c>
      <c r="AV75" s="53"/>
      <c r="AW75" s="53"/>
      <c r="AX75" s="53"/>
      <c r="AY75" s="53"/>
      <c r="AZ75" s="2"/>
      <c r="BA75" s="2"/>
    </row>
    <row r="76" spans="1:53" ht="15.5" x14ac:dyDescent="0.3">
      <c r="A76" s="73"/>
      <c r="B76" s="75"/>
      <c r="C76" s="21" t="s">
        <v>15</v>
      </c>
      <c r="D76" s="1">
        <v>17</v>
      </c>
      <c r="E76" s="1">
        <v>20</v>
      </c>
      <c r="F76" s="1">
        <v>21</v>
      </c>
      <c r="G76" s="1">
        <v>16</v>
      </c>
      <c r="H76" s="1">
        <v>13</v>
      </c>
      <c r="I76" s="1">
        <v>20</v>
      </c>
      <c r="J76" s="1">
        <v>18</v>
      </c>
      <c r="K76" s="1">
        <v>23</v>
      </c>
      <c r="L76" s="1">
        <v>20</v>
      </c>
      <c r="M76" s="1">
        <v>17</v>
      </c>
      <c r="N76" s="1">
        <v>19</v>
      </c>
      <c r="O76" s="1">
        <v>22</v>
      </c>
      <c r="P76" s="22">
        <f t="shared" si="26"/>
        <v>226</v>
      </c>
      <c r="Q76" s="53">
        <f t="shared" si="27"/>
        <v>18.833333333333332</v>
      </c>
      <c r="S76" s="6" t="s">
        <v>51</v>
      </c>
      <c r="T76" s="51">
        <f>(SUMSQ(W69:Y71)/(12))-T71-T74-T75</f>
        <v>165.09259259259125</v>
      </c>
      <c r="AA76" s="51"/>
      <c r="AE76" s="51"/>
      <c r="AF76" s="51"/>
      <c r="AG76" s="51"/>
      <c r="AH76" s="51"/>
      <c r="AI76" s="51"/>
      <c r="AM76" s="60" t="s">
        <v>9</v>
      </c>
      <c r="AN76" s="53">
        <v>18.166666666666668</v>
      </c>
      <c r="AO76" s="53" t="s">
        <v>100</v>
      </c>
      <c r="AP76" s="53">
        <f t="shared" si="28"/>
        <v>22.654929215635214</v>
      </c>
    </row>
    <row r="77" spans="1:53" ht="15.5" x14ac:dyDescent="0.3">
      <c r="A77" s="73"/>
      <c r="B77" s="75"/>
      <c r="C77" s="21" t="s">
        <v>16</v>
      </c>
      <c r="D77" s="1">
        <v>23</v>
      </c>
      <c r="E77" s="1">
        <v>24</v>
      </c>
      <c r="F77" s="1">
        <v>25</v>
      </c>
      <c r="G77" s="1">
        <v>16</v>
      </c>
      <c r="H77" s="1">
        <v>15</v>
      </c>
      <c r="I77" s="1">
        <v>15</v>
      </c>
      <c r="J77" s="1">
        <v>24</v>
      </c>
      <c r="K77" s="1">
        <v>24</v>
      </c>
      <c r="L77" s="1">
        <v>23</v>
      </c>
      <c r="M77" s="1">
        <v>15</v>
      </c>
      <c r="N77" s="1">
        <v>24</v>
      </c>
      <c r="O77" s="1">
        <v>12</v>
      </c>
      <c r="P77" s="22">
        <f t="shared" si="26"/>
        <v>240</v>
      </c>
      <c r="Q77" s="53">
        <f t="shared" si="27"/>
        <v>20</v>
      </c>
      <c r="S77" s="6" t="s">
        <v>52</v>
      </c>
      <c r="T77" s="51">
        <f>T72-T73-T74-T75-T76</f>
        <v>1069.425925925927</v>
      </c>
      <c r="AA77" s="51"/>
      <c r="AE77" s="51"/>
      <c r="AF77" s="51"/>
      <c r="AG77" s="51"/>
      <c r="AH77" s="51"/>
      <c r="AI77" s="51"/>
      <c r="AM77" s="60" t="s">
        <v>15</v>
      </c>
      <c r="AN77" s="53">
        <v>18.833333333333332</v>
      </c>
      <c r="AO77" s="53" t="s">
        <v>100</v>
      </c>
      <c r="AP77" s="53">
        <f t="shared" si="28"/>
        <v>23.321595882301878</v>
      </c>
    </row>
    <row r="78" spans="1:53" ht="15.5" x14ac:dyDescent="0.3">
      <c r="A78" s="73"/>
      <c r="B78" s="75"/>
      <c r="C78" s="21" t="s">
        <v>17</v>
      </c>
      <c r="D78" s="1">
        <v>21</v>
      </c>
      <c r="E78" s="1">
        <v>21</v>
      </c>
      <c r="F78" s="1">
        <v>31</v>
      </c>
      <c r="G78" s="1">
        <v>19</v>
      </c>
      <c r="H78" s="1">
        <v>22</v>
      </c>
      <c r="I78" s="1">
        <v>20</v>
      </c>
      <c r="J78" s="1">
        <v>18</v>
      </c>
      <c r="K78" s="1">
        <v>23</v>
      </c>
      <c r="L78" s="1">
        <v>26</v>
      </c>
      <c r="M78" s="1">
        <v>20</v>
      </c>
      <c r="N78" s="1">
        <v>21</v>
      </c>
      <c r="O78" s="1">
        <v>15</v>
      </c>
      <c r="P78" s="22">
        <f t="shared" si="26"/>
        <v>257</v>
      </c>
      <c r="Q78" s="53">
        <f t="shared" si="27"/>
        <v>21.416666666666668</v>
      </c>
      <c r="AA78" s="51"/>
      <c r="AE78" s="51"/>
      <c r="AF78" s="51"/>
      <c r="AG78" s="51"/>
      <c r="AH78" s="51"/>
      <c r="AI78" s="51"/>
      <c r="AM78" s="60" t="s">
        <v>16</v>
      </c>
      <c r="AN78" s="53">
        <v>20</v>
      </c>
      <c r="AO78" s="53" t="s">
        <v>105</v>
      </c>
      <c r="AP78" s="53">
        <f t="shared" si="28"/>
        <v>24.488262548968549</v>
      </c>
      <c r="AS78" s="2" t="s">
        <v>46</v>
      </c>
      <c r="AT78" s="53">
        <f>P79^2/(3*3*12)</f>
        <v>40406.675925925927</v>
      </c>
    </row>
    <row r="79" spans="1:53" x14ac:dyDescent="0.3">
      <c r="A79" s="73"/>
      <c r="B79" s="75"/>
      <c r="C79" s="20" t="s">
        <v>33</v>
      </c>
      <c r="D79" s="23">
        <f>SUM(D70:D78)</f>
        <v>160</v>
      </c>
      <c r="E79" s="23">
        <f t="shared" ref="E79:O79" si="29">SUM(E70:E78)</f>
        <v>180</v>
      </c>
      <c r="F79" s="23">
        <f t="shared" si="29"/>
        <v>193</v>
      </c>
      <c r="G79" s="23">
        <f t="shared" si="29"/>
        <v>179</v>
      </c>
      <c r="H79" s="23">
        <f t="shared" si="29"/>
        <v>171</v>
      </c>
      <c r="I79" s="23">
        <f t="shared" si="29"/>
        <v>179</v>
      </c>
      <c r="J79" s="23">
        <f t="shared" si="29"/>
        <v>169</v>
      </c>
      <c r="K79" s="23">
        <f t="shared" si="29"/>
        <v>185</v>
      </c>
      <c r="L79" s="23">
        <f t="shared" si="29"/>
        <v>175</v>
      </c>
      <c r="M79" s="23">
        <f t="shared" si="29"/>
        <v>165</v>
      </c>
      <c r="N79" s="23">
        <f t="shared" si="29"/>
        <v>167</v>
      </c>
      <c r="O79" s="23">
        <f t="shared" si="29"/>
        <v>166</v>
      </c>
      <c r="P79" s="22">
        <f t="shared" si="26"/>
        <v>2089</v>
      </c>
      <c r="Q79" s="53"/>
      <c r="AA79" s="51"/>
      <c r="AE79" s="51"/>
      <c r="AF79" s="51"/>
      <c r="AG79" s="51"/>
      <c r="AH79" s="51"/>
      <c r="AI79" s="51"/>
      <c r="AM79" s="60" t="s">
        <v>17</v>
      </c>
      <c r="AN79" s="53">
        <v>21.416666666666668</v>
      </c>
      <c r="AO79" s="53" t="s">
        <v>106</v>
      </c>
      <c r="AP79" s="53">
        <f t="shared" si="28"/>
        <v>25.904929215635214</v>
      </c>
    </row>
    <row r="80" spans="1:53" x14ac:dyDescent="0.3">
      <c r="A80" s="66"/>
      <c r="B80" s="76"/>
      <c r="C80" s="20" t="s">
        <v>32</v>
      </c>
      <c r="D80" s="53">
        <f>AVERAGE(D70:D78)</f>
        <v>17.777777777777779</v>
      </c>
      <c r="E80" s="53">
        <f t="shared" ref="E80:O80" si="30">AVERAGE(E70:E78)</f>
        <v>20</v>
      </c>
      <c r="F80" s="53">
        <f t="shared" si="30"/>
        <v>21.444444444444443</v>
      </c>
      <c r="G80" s="53">
        <f t="shared" si="30"/>
        <v>19.888888888888889</v>
      </c>
      <c r="H80" s="53">
        <f t="shared" si="30"/>
        <v>19</v>
      </c>
      <c r="I80" s="53">
        <f t="shared" si="30"/>
        <v>19.888888888888889</v>
      </c>
      <c r="J80" s="53">
        <f t="shared" si="30"/>
        <v>18.777777777777779</v>
      </c>
      <c r="K80" s="53">
        <f t="shared" si="30"/>
        <v>20.555555555555557</v>
      </c>
      <c r="L80" s="53">
        <f t="shared" si="30"/>
        <v>19.444444444444443</v>
      </c>
      <c r="M80" s="53">
        <f t="shared" si="30"/>
        <v>18.333333333333332</v>
      </c>
      <c r="N80" s="53">
        <f t="shared" si="30"/>
        <v>18.555555555555557</v>
      </c>
      <c r="O80" s="53">
        <f t="shared" si="30"/>
        <v>18.444444444444443</v>
      </c>
      <c r="P80" s="33"/>
      <c r="Q80" s="53"/>
      <c r="AA80" s="51"/>
      <c r="AE80" s="51"/>
      <c r="AF80" s="51"/>
      <c r="AG80" s="51"/>
      <c r="AH80" s="51"/>
      <c r="AI80" s="51"/>
      <c r="AM80" s="60" t="s">
        <v>10</v>
      </c>
      <c r="AN80" s="53">
        <v>23.75</v>
      </c>
      <c r="AO80" s="53" t="s">
        <v>107</v>
      </c>
      <c r="AP80" s="53">
        <f t="shared" si="28"/>
        <v>28.238262548968549</v>
      </c>
    </row>
    <row r="81" spans="1:53" x14ac:dyDescent="0.3">
      <c r="Q81" s="51"/>
      <c r="AA81" s="51"/>
      <c r="AE81" s="51"/>
      <c r="AF81" s="51"/>
      <c r="AG81" s="51"/>
      <c r="AH81" s="51"/>
      <c r="AI81" s="51"/>
      <c r="AM81" s="60" t="s">
        <v>11</v>
      </c>
      <c r="AN81" s="53">
        <v>23.833333333333332</v>
      </c>
      <c r="AO81" s="53" t="s">
        <v>107</v>
      </c>
      <c r="AP81" s="53">
        <f t="shared" si="28"/>
        <v>28.321595882301878</v>
      </c>
    </row>
    <row r="82" spans="1:53" x14ac:dyDescent="0.3">
      <c r="Q82" s="51"/>
      <c r="AA82" s="51"/>
      <c r="AE82" s="51"/>
      <c r="AF82" s="51"/>
      <c r="AG82" s="51"/>
      <c r="AH82" s="51"/>
      <c r="AI82" s="51"/>
      <c r="AM82" s="51"/>
      <c r="AN82" s="51"/>
      <c r="AO82" s="51"/>
      <c r="AP82" s="51"/>
      <c r="AS82" s="6" t="s">
        <v>97</v>
      </c>
    </row>
    <row r="83" spans="1:53" x14ac:dyDescent="0.3">
      <c r="A83" s="3" t="s">
        <v>18</v>
      </c>
      <c r="B83" s="3" t="s">
        <v>20</v>
      </c>
      <c r="C83" s="87" t="s">
        <v>0</v>
      </c>
      <c r="D83" s="69" t="s">
        <v>1</v>
      </c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5" t="s">
        <v>33</v>
      </c>
      <c r="Q83" s="67" t="s">
        <v>32</v>
      </c>
      <c r="V83" s="65" t="s">
        <v>53</v>
      </c>
      <c r="W83" s="70" t="s">
        <v>54</v>
      </c>
      <c r="X83" s="71"/>
      <c r="Y83" s="72"/>
      <c r="Z83" s="65" t="s">
        <v>33</v>
      </c>
      <c r="AA83" s="67" t="s">
        <v>32</v>
      </c>
      <c r="AC83" s="65" t="s">
        <v>61</v>
      </c>
      <c r="AD83" s="65" t="s">
        <v>62</v>
      </c>
      <c r="AE83" s="67" t="s">
        <v>63</v>
      </c>
      <c r="AF83" s="67" t="s">
        <v>64</v>
      </c>
      <c r="AG83" s="67" t="s">
        <v>65</v>
      </c>
      <c r="AH83" s="64" t="s">
        <v>66</v>
      </c>
      <c r="AI83" s="64"/>
      <c r="AJ83" s="65" t="s">
        <v>67</v>
      </c>
      <c r="AK83" s="65" t="s">
        <v>68</v>
      </c>
      <c r="AM83" s="80" t="s">
        <v>80</v>
      </c>
      <c r="AN83" s="80"/>
      <c r="AO83" s="51"/>
      <c r="AP83" s="51"/>
      <c r="AS83" s="65" t="s">
        <v>61</v>
      </c>
      <c r="AT83" s="65" t="s">
        <v>62</v>
      </c>
      <c r="AU83" s="65" t="s">
        <v>63</v>
      </c>
      <c r="AV83" s="65" t="s">
        <v>64</v>
      </c>
      <c r="AW83" s="65" t="s">
        <v>65</v>
      </c>
      <c r="AX83" s="69" t="s">
        <v>66</v>
      </c>
      <c r="AY83" s="69"/>
      <c r="AZ83" s="65" t="s">
        <v>67</v>
      </c>
      <c r="BA83" s="65" t="s">
        <v>68</v>
      </c>
    </row>
    <row r="84" spans="1:53" x14ac:dyDescent="0.3">
      <c r="A84" s="65">
        <v>8</v>
      </c>
      <c r="B84" s="74" t="s">
        <v>41</v>
      </c>
      <c r="C84" s="87"/>
      <c r="D84" s="69" t="s">
        <v>2</v>
      </c>
      <c r="E84" s="69"/>
      <c r="F84" s="69"/>
      <c r="G84" s="69"/>
      <c r="H84" s="69" t="s">
        <v>7</v>
      </c>
      <c r="I84" s="69"/>
      <c r="J84" s="69"/>
      <c r="K84" s="69"/>
      <c r="L84" s="69" t="s">
        <v>8</v>
      </c>
      <c r="M84" s="69"/>
      <c r="N84" s="69"/>
      <c r="O84" s="69"/>
      <c r="P84" s="73"/>
      <c r="Q84" s="77"/>
      <c r="S84" s="6" t="s">
        <v>71</v>
      </c>
      <c r="T84" s="6">
        <v>12</v>
      </c>
      <c r="V84" s="66"/>
      <c r="W84" s="3" t="s">
        <v>55</v>
      </c>
      <c r="X84" s="3" t="s">
        <v>56</v>
      </c>
      <c r="Y84" s="3" t="s">
        <v>57</v>
      </c>
      <c r="Z84" s="66"/>
      <c r="AA84" s="68"/>
      <c r="AC84" s="66"/>
      <c r="AD84" s="66"/>
      <c r="AE84" s="68"/>
      <c r="AF84" s="68"/>
      <c r="AG84" s="68"/>
      <c r="AH84" s="59">
        <v>0.05</v>
      </c>
      <c r="AI84" s="59">
        <v>0.01</v>
      </c>
      <c r="AJ84" s="66"/>
      <c r="AK84" s="66"/>
      <c r="AM84" s="54" t="s">
        <v>74</v>
      </c>
      <c r="AN84" s="54">
        <f>SQRT(AF89/12)</f>
        <v>0.94678112600598763</v>
      </c>
      <c r="AO84" s="56"/>
      <c r="AP84" s="55" t="s">
        <v>89</v>
      </c>
      <c r="AS84" s="66"/>
      <c r="AT84" s="66"/>
      <c r="AU84" s="66"/>
      <c r="AV84" s="66"/>
      <c r="AW84" s="66"/>
      <c r="AX84" s="42">
        <v>0.05</v>
      </c>
      <c r="AY84" s="42">
        <v>0.01</v>
      </c>
      <c r="AZ84" s="66"/>
      <c r="BA84" s="66"/>
    </row>
    <row r="85" spans="1:53" x14ac:dyDescent="0.3">
      <c r="A85" s="73"/>
      <c r="B85" s="75"/>
      <c r="C85" s="87"/>
      <c r="D85" s="18" t="s">
        <v>3</v>
      </c>
      <c r="E85" s="18" t="s">
        <v>4</v>
      </c>
      <c r="F85" s="18" t="s">
        <v>5</v>
      </c>
      <c r="G85" s="18" t="s">
        <v>6</v>
      </c>
      <c r="H85" s="18" t="s">
        <v>3</v>
      </c>
      <c r="I85" s="18" t="s">
        <v>4</v>
      </c>
      <c r="J85" s="18" t="s">
        <v>5</v>
      </c>
      <c r="K85" s="18" t="s">
        <v>6</v>
      </c>
      <c r="L85" s="18" t="s">
        <v>3</v>
      </c>
      <c r="M85" s="18" t="s">
        <v>4</v>
      </c>
      <c r="N85" s="18" t="s">
        <v>5</v>
      </c>
      <c r="O85" s="18" t="s">
        <v>6</v>
      </c>
      <c r="P85" s="66"/>
      <c r="Q85" s="68"/>
      <c r="S85" s="6" t="s">
        <v>44</v>
      </c>
      <c r="T85" s="6">
        <v>3</v>
      </c>
      <c r="V85" s="3" t="s">
        <v>58</v>
      </c>
      <c r="W85" s="2">
        <f>SUM(D86:O86)</f>
        <v>228</v>
      </c>
      <c r="X85" s="2">
        <f>SUM(D87:O87)</f>
        <v>267</v>
      </c>
      <c r="Y85" s="2">
        <f>SUM(D88:O88)</f>
        <v>273</v>
      </c>
      <c r="Z85" s="2">
        <f>SUM(W85:Y85)</f>
        <v>768</v>
      </c>
      <c r="AA85" s="53">
        <f>AVERAGE(W85:Y85)</f>
        <v>256</v>
      </c>
      <c r="AC85" s="3" t="s">
        <v>43</v>
      </c>
      <c r="AD85" s="2">
        <f>12-1</f>
        <v>11</v>
      </c>
      <c r="AE85" s="53">
        <f>T89</f>
        <v>124.324074074073</v>
      </c>
      <c r="AF85" s="53">
        <f>AE85/AD85</f>
        <v>11.302188552188454</v>
      </c>
      <c r="AG85" s="53">
        <f>AF85/AF89</f>
        <v>1.0507081931293454</v>
      </c>
      <c r="AH85" s="53">
        <f>FINV(AH84,AD85,AD89)</f>
        <v>1.8991710184693407</v>
      </c>
      <c r="AI85" s="53">
        <f>FINV(AI84,AD85,AD89)</f>
        <v>2.4560580535880434</v>
      </c>
      <c r="AJ85" s="30" t="s">
        <v>95</v>
      </c>
      <c r="AK85" s="2"/>
      <c r="AM85" s="53" t="s">
        <v>75</v>
      </c>
      <c r="AN85" s="54">
        <v>4.46</v>
      </c>
      <c r="AO85" s="51"/>
      <c r="AP85" s="51"/>
      <c r="AS85" s="3" t="s">
        <v>43</v>
      </c>
      <c r="AT85" s="2">
        <f>12-1</f>
        <v>11</v>
      </c>
      <c r="AU85" s="6">
        <f>SUMSQ(D95:O95)/(3*3)-AT94</f>
        <v>124.324074074073</v>
      </c>
      <c r="AV85" s="53">
        <f>AU85/AT85</f>
        <v>11.302188552188454</v>
      </c>
      <c r="AW85" s="53">
        <f>AV85/AV90</f>
        <v>1.0507081931293454</v>
      </c>
      <c r="AX85" s="53">
        <f>FINV(AX84,AT85,AT90)</f>
        <v>1.8991710184693407</v>
      </c>
      <c r="AY85" s="53">
        <f>FINV(AY84,AT85,AT90)</f>
        <v>2.4560580535880434</v>
      </c>
      <c r="AZ85" s="2" t="str">
        <f>IF(AW85&gt;AY85,"**",IF(AW85&gt;AX85,"*","TN"))</f>
        <v>TN</v>
      </c>
      <c r="BA85" s="2" t="str">
        <f>IF(AZ85="TN","Tidak Nyata",IF(AZ85="*","Nyata",IF(AZ85="**","Sangat Nyata",0)))</f>
        <v>Tidak Nyata</v>
      </c>
    </row>
    <row r="86" spans="1:53" ht="15.5" x14ac:dyDescent="0.3">
      <c r="A86" s="73"/>
      <c r="B86" s="75"/>
      <c r="C86" s="21" t="s">
        <v>9</v>
      </c>
      <c r="D86" s="1">
        <v>12</v>
      </c>
      <c r="E86" s="1">
        <v>21</v>
      </c>
      <c r="F86" s="1">
        <v>22</v>
      </c>
      <c r="G86" s="1">
        <v>23</v>
      </c>
      <c r="H86" s="1">
        <v>25</v>
      </c>
      <c r="I86" s="1">
        <v>18</v>
      </c>
      <c r="J86" s="1">
        <v>11</v>
      </c>
      <c r="K86" s="1">
        <v>19</v>
      </c>
      <c r="L86" s="1">
        <v>20</v>
      </c>
      <c r="M86" s="1">
        <v>22</v>
      </c>
      <c r="N86" s="1">
        <v>11</v>
      </c>
      <c r="O86" s="1">
        <v>24</v>
      </c>
      <c r="P86" s="22">
        <f>SUM(D86:O86)</f>
        <v>228</v>
      </c>
      <c r="Q86" s="53">
        <f>AVERAGE(D86:O86)</f>
        <v>19</v>
      </c>
      <c r="S86" s="6" t="s">
        <v>45</v>
      </c>
      <c r="T86" s="6">
        <v>3</v>
      </c>
      <c r="V86" s="3" t="s">
        <v>59</v>
      </c>
      <c r="W86" s="2">
        <f>SUM(D89:O89)</f>
        <v>217</v>
      </c>
      <c r="X86" s="2">
        <f>SUM(D90:O90)</f>
        <v>202</v>
      </c>
      <c r="Y86" s="2">
        <f>SUM(D91:O91)</f>
        <v>216</v>
      </c>
      <c r="Z86" s="2">
        <f>SUM(W86:Y86)</f>
        <v>635</v>
      </c>
      <c r="AA86" s="53">
        <f>AVERAGE(W86:Y86)</f>
        <v>211.66666666666666</v>
      </c>
      <c r="AC86" s="3" t="s">
        <v>45</v>
      </c>
      <c r="AD86" s="2">
        <f>3-1</f>
        <v>2</v>
      </c>
      <c r="AE86" s="53">
        <f>T90</f>
        <v>115.79629629629198</v>
      </c>
      <c r="AF86" s="53">
        <f>AE86/AD86</f>
        <v>57.898148148145992</v>
      </c>
      <c r="AG86" s="53">
        <f>AF86/AF89</f>
        <v>5.3825025432348026</v>
      </c>
      <c r="AH86" s="53">
        <f>FINV(AH84,AD86,AD89)</f>
        <v>3.1000686386371408</v>
      </c>
      <c r="AI86" s="53">
        <f>FINV(AI84,AD86,AD89)</f>
        <v>4.8547979993760721</v>
      </c>
      <c r="AJ86" s="30" t="s">
        <v>72</v>
      </c>
      <c r="AK86" s="2"/>
      <c r="AM86" s="53" t="s">
        <v>76</v>
      </c>
      <c r="AN86" s="54">
        <f>AN85*AN84</f>
        <v>4.2226438219867051</v>
      </c>
      <c r="AO86" s="51"/>
      <c r="AP86" s="51"/>
      <c r="AS86" s="3" t="s">
        <v>98</v>
      </c>
      <c r="AT86" s="2">
        <f>3*3-1</f>
        <v>8</v>
      </c>
      <c r="AU86" s="53">
        <f>SUMSQ(P86:P94)/12-AT94</f>
        <v>473.40740740740875</v>
      </c>
      <c r="AV86" s="53">
        <f t="shared" ref="AV86:AV90" si="31">AU86/AT86</f>
        <v>59.175925925926094</v>
      </c>
      <c r="AW86" s="53">
        <f>AV86/AV90</f>
        <v>5.5012911808435954</v>
      </c>
      <c r="AX86" s="53">
        <f>FINV(AX84,AT86,AT90)</f>
        <v>2.0454143150341193</v>
      </c>
      <c r="AY86" s="53">
        <f>FINV(AY84,AT86,AT90)</f>
        <v>2.720181875728696</v>
      </c>
      <c r="AZ86" s="2" t="str">
        <f>IF(AW86&gt;AY86,"**",IF(AW86&gt;AX86,"*","TN"))</f>
        <v>**</v>
      </c>
      <c r="BA86" s="2" t="str">
        <f t="shared" ref="BA86:BA89" si="32">IF(AZ86="TN","Tidak Nyata",IF(AZ86="*","Nyata",IF(AZ86="**","Sangat Nyata",0)))</f>
        <v>Sangat Nyata</v>
      </c>
    </row>
    <row r="87" spans="1:53" x14ac:dyDescent="0.3">
      <c r="A87" s="73"/>
      <c r="B87" s="75"/>
      <c r="C87" s="21" t="s">
        <v>10</v>
      </c>
      <c r="D87" s="2">
        <v>22</v>
      </c>
      <c r="E87" s="2">
        <v>22</v>
      </c>
      <c r="F87" s="2">
        <v>23</v>
      </c>
      <c r="G87" s="2">
        <v>24</v>
      </c>
      <c r="H87" s="2">
        <v>22</v>
      </c>
      <c r="I87" s="2">
        <v>23</v>
      </c>
      <c r="J87" s="2">
        <v>22</v>
      </c>
      <c r="K87" s="2">
        <v>21</v>
      </c>
      <c r="L87" s="2">
        <v>20</v>
      </c>
      <c r="M87" s="2">
        <v>22</v>
      </c>
      <c r="N87" s="2">
        <v>24</v>
      </c>
      <c r="O87" s="2">
        <v>22</v>
      </c>
      <c r="P87" s="22">
        <f t="shared" ref="P87:P95" si="33">SUM(D87:O87)</f>
        <v>267</v>
      </c>
      <c r="Q87" s="53">
        <f t="shared" ref="Q87:Q94" si="34">AVERAGE(D87:O87)</f>
        <v>22.25</v>
      </c>
      <c r="S87" s="6" t="s">
        <v>46</v>
      </c>
      <c r="T87" s="51">
        <f>(P95^2)/(12*3*3)</f>
        <v>39636.675925925927</v>
      </c>
      <c r="V87" s="3" t="s">
        <v>60</v>
      </c>
      <c r="W87" s="2">
        <f>SUM(D92:O92)</f>
        <v>197</v>
      </c>
      <c r="X87" s="2">
        <f>SUM(D93:O93)</f>
        <v>225</v>
      </c>
      <c r="Y87" s="2">
        <f>SUM(D94:O94)</f>
        <v>244</v>
      </c>
      <c r="Z87" s="2">
        <f>SUM(W87:Y87)</f>
        <v>666</v>
      </c>
      <c r="AA87" s="53">
        <f>AVERAGE(W87:Y87)</f>
        <v>222</v>
      </c>
      <c r="AC87" s="3" t="s">
        <v>44</v>
      </c>
      <c r="AD87" s="2">
        <f>3-1</f>
        <v>2</v>
      </c>
      <c r="AE87" s="53">
        <f>T91</f>
        <v>269.01851851851825</v>
      </c>
      <c r="AF87" s="53">
        <f>AE87/AD87</f>
        <v>134.50925925925912</v>
      </c>
      <c r="AG87" s="53">
        <f>AF87/AF89</f>
        <v>12.504656076375309</v>
      </c>
      <c r="AH87" s="53">
        <f>FINV(AH84,AD87,AD89)</f>
        <v>3.1000686386371408</v>
      </c>
      <c r="AI87" s="53">
        <f>FINV(AI84,AD87,AD89)</f>
        <v>4.8547979993760721</v>
      </c>
      <c r="AJ87" s="30" t="s">
        <v>72</v>
      </c>
      <c r="AK87" s="2"/>
      <c r="AM87" s="51"/>
      <c r="AN87" s="51"/>
      <c r="AO87" s="51"/>
      <c r="AP87" s="51"/>
      <c r="AS87" s="3" t="s">
        <v>45</v>
      </c>
      <c r="AT87" s="2">
        <f>3-1</f>
        <v>2</v>
      </c>
      <c r="AU87" s="53">
        <f>SUMSQ(W88:Y88)/(3*12)-AT94</f>
        <v>115.79629629629198</v>
      </c>
      <c r="AV87" s="53">
        <f t="shared" si="31"/>
        <v>57.898148148145992</v>
      </c>
      <c r="AW87" s="53">
        <f>AV87/AV90</f>
        <v>5.3825025432348026</v>
      </c>
      <c r="AX87" s="53">
        <f>FINV(AX84,AT87,AT90)</f>
        <v>3.1000686386371408</v>
      </c>
      <c r="AY87" s="53">
        <f>FINV(AY84,AT87,AT90)</f>
        <v>4.8547979993760721</v>
      </c>
      <c r="AZ87" s="2" t="str">
        <f>IF(AW87&gt;AY87,"**",IF(AW87&gt;AX87,"*","TN"))</f>
        <v>**</v>
      </c>
      <c r="BA87" s="2" t="str">
        <f t="shared" si="32"/>
        <v>Sangat Nyata</v>
      </c>
    </row>
    <row r="88" spans="1:53" x14ac:dyDescent="0.3">
      <c r="A88" s="73"/>
      <c r="B88" s="75"/>
      <c r="C88" s="21" t="s">
        <v>11</v>
      </c>
      <c r="D88" s="2">
        <v>21</v>
      </c>
      <c r="E88" s="2">
        <v>24</v>
      </c>
      <c r="F88" s="2">
        <v>22</v>
      </c>
      <c r="G88" s="2">
        <v>23</v>
      </c>
      <c r="H88" s="2">
        <v>21</v>
      </c>
      <c r="I88" s="2">
        <v>23</v>
      </c>
      <c r="J88" s="2">
        <v>23</v>
      </c>
      <c r="K88" s="2">
        <v>22</v>
      </c>
      <c r="L88" s="2">
        <v>24</v>
      </c>
      <c r="M88" s="2">
        <v>23</v>
      </c>
      <c r="N88" s="2">
        <v>23</v>
      </c>
      <c r="O88" s="2">
        <v>24</v>
      </c>
      <c r="P88" s="22">
        <f t="shared" si="33"/>
        <v>273</v>
      </c>
      <c r="Q88" s="53">
        <f t="shared" si="34"/>
        <v>22.75</v>
      </c>
      <c r="S88" s="6" t="s">
        <v>47</v>
      </c>
      <c r="T88" s="51">
        <f>SUMSQ(D86:O94)-T87</f>
        <v>1544.324074074073</v>
      </c>
      <c r="V88" s="3" t="s">
        <v>33</v>
      </c>
      <c r="W88" s="2">
        <f>SUM(W85:W87)</f>
        <v>642</v>
      </c>
      <c r="X88" s="2">
        <f>SUM(X85:X87)</f>
        <v>694</v>
      </c>
      <c r="Y88" s="2">
        <f>SUM(Y85:Y87)</f>
        <v>733</v>
      </c>
      <c r="Z88" s="2">
        <f>SUM(W88:Y88)</f>
        <v>2069</v>
      </c>
      <c r="AA88" s="53">
        <f>AVERAGE(W88:Y88)</f>
        <v>689.66666666666663</v>
      </c>
      <c r="AC88" s="3" t="s">
        <v>69</v>
      </c>
      <c r="AD88" s="2">
        <f>(3-1)*(3-1)</f>
        <v>4</v>
      </c>
      <c r="AE88" s="53">
        <f>T92</f>
        <v>88.592592592598521</v>
      </c>
      <c r="AF88" s="53">
        <f>AE88/AD88</f>
        <v>22.14814814814963</v>
      </c>
      <c r="AG88" s="53">
        <f>AF88/AF89</f>
        <v>2.0590030518821347</v>
      </c>
      <c r="AH88" s="53">
        <f>FINV(AH84,AD88,AD89)</f>
        <v>2.4752774088696223</v>
      </c>
      <c r="AI88" s="53">
        <f>FINV(AI84,AD88,AD89)</f>
        <v>3.5400845421240663</v>
      </c>
      <c r="AJ88" s="30" t="s">
        <v>95</v>
      </c>
      <c r="AK88" s="2"/>
      <c r="AM88" s="54" t="s">
        <v>0</v>
      </c>
      <c r="AN88" s="54" t="s">
        <v>32</v>
      </c>
      <c r="AO88" s="54" t="s">
        <v>67</v>
      </c>
      <c r="AP88" s="54" t="s">
        <v>77</v>
      </c>
      <c r="AS88" s="3" t="s">
        <v>44</v>
      </c>
      <c r="AT88" s="2">
        <f>3-1</f>
        <v>2</v>
      </c>
      <c r="AU88" s="53">
        <f>SUMSQ(Z85:Z87)/(3*12)-AT94</f>
        <v>269.01851851851825</v>
      </c>
      <c r="AV88" s="53">
        <f t="shared" si="31"/>
        <v>134.50925925925912</v>
      </c>
      <c r="AW88" s="53">
        <f>AV88/AV90</f>
        <v>12.504656076375309</v>
      </c>
      <c r="AX88" s="53">
        <f>FINV(AX84,AT88,AT90)</f>
        <v>3.1000686386371408</v>
      </c>
      <c r="AY88" s="53">
        <f>FINV(AY84,AT88,AT90)</f>
        <v>4.8547979993760721</v>
      </c>
      <c r="AZ88" s="2" t="str">
        <f>IF(AW88&gt;AY88,"**",IF(AW88&gt;AX88,"*","TN"))</f>
        <v>**</v>
      </c>
      <c r="BA88" s="2" t="str">
        <f t="shared" si="32"/>
        <v>Sangat Nyata</v>
      </c>
    </row>
    <row r="89" spans="1:53" ht="14" customHeight="1" x14ac:dyDescent="0.3">
      <c r="A89" s="73"/>
      <c r="B89" s="75"/>
      <c r="C89" s="21" t="s">
        <v>12</v>
      </c>
      <c r="D89" s="1">
        <v>18</v>
      </c>
      <c r="E89" s="1">
        <v>16</v>
      </c>
      <c r="F89" s="1">
        <v>18</v>
      </c>
      <c r="G89" s="1">
        <v>23</v>
      </c>
      <c r="H89" s="1">
        <v>20</v>
      </c>
      <c r="I89" s="1">
        <v>19</v>
      </c>
      <c r="J89" s="1">
        <v>19</v>
      </c>
      <c r="K89" s="1">
        <v>18</v>
      </c>
      <c r="L89" s="1">
        <v>16</v>
      </c>
      <c r="M89" s="1">
        <v>17</v>
      </c>
      <c r="N89" s="1">
        <v>17</v>
      </c>
      <c r="O89" s="1">
        <v>16</v>
      </c>
      <c r="P89" s="22">
        <f t="shared" si="33"/>
        <v>217</v>
      </c>
      <c r="Q89" s="53">
        <f t="shared" si="34"/>
        <v>18.083333333333332</v>
      </c>
      <c r="S89" s="6" t="s">
        <v>48</v>
      </c>
      <c r="T89" s="51">
        <f>(SUMSQ(D95:O95)/(3*3))-T87</f>
        <v>124.324074074073</v>
      </c>
      <c r="V89" s="3" t="s">
        <v>32</v>
      </c>
      <c r="W89" s="53">
        <f>AVERAGE(W85:W87)</f>
        <v>214</v>
      </c>
      <c r="X89" s="53">
        <f>AVERAGE(X85:X87)</f>
        <v>231.33333333333334</v>
      </c>
      <c r="Y89" s="53">
        <f>AVERAGE(Y85:Y87)</f>
        <v>244.33333333333334</v>
      </c>
      <c r="Z89" s="2"/>
      <c r="AA89" s="53"/>
      <c r="AC89" s="3" t="s">
        <v>70</v>
      </c>
      <c r="AD89" s="2">
        <f>((3*3)-1)*(12-1)</f>
        <v>88</v>
      </c>
      <c r="AE89" s="53">
        <f>T93</f>
        <v>946.59259259259125</v>
      </c>
      <c r="AF89" s="53">
        <f>AE89/AD89</f>
        <v>10.756734006733991</v>
      </c>
      <c r="AG89" s="53"/>
      <c r="AH89" s="53"/>
      <c r="AI89" s="53"/>
      <c r="AJ89" s="2"/>
      <c r="AK89" s="2"/>
      <c r="AM89" s="60" t="s">
        <v>15</v>
      </c>
      <c r="AN89" s="53">
        <v>16.416666666666668</v>
      </c>
      <c r="AO89" s="53" t="s">
        <v>93</v>
      </c>
      <c r="AP89" s="53">
        <f>AN89+AN86</f>
        <v>20.639310488653372</v>
      </c>
      <c r="AS89" s="3" t="s">
        <v>69</v>
      </c>
      <c r="AT89" s="2">
        <f>AT87*AT88</f>
        <v>4</v>
      </c>
      <c r="AU89" s="53">
        <f>AU86-AU87-AU88</f>
        <v>88.592592592598521</v>
      </c>
      <c r="AV89" s="53">
        <f t="shared" si="31"/>
        <v>22.14814814814963</v>
      </c>
      <c r="AW89" s="53">
        <f>AV89/AV90</f>
        <v>2.0590030518821347</v>
      </c>
      <c r="AX89" s="53">
        <f>FINV(AX84,AT89,AT90)</f>
        <v>2.4752774088696223</v>
      </c>
      <c r="AY89" s="53">
        <f>FINV(AY84,AT89,AT90)</f>
        <v>3.5400845421240663</v>
      </c>
      <c r="AZ89" s="2" t="str">
        <f>IF(AW89&gt;AY89,"**",IF(AW89&gt;AX89,"*","TN"))</f>
        <v>TN</v>
      </c>
      <c r="BA89" s="2" t="str">
        <f t="shared" si="32"/>
        <v>Tidak Nyata</v>
      </c>
    </row>
    <row r="90" spans="1:53" ht="15.5" x14ac:dyDescent="0.3">
      <c r="A90" s="73"/>
      <c r="B90" s="75"/>
      <c r="C90" s="21" t="s">
        <v>13</v>
      </c>
      <c r="D90" s="1">
        <v>19</v>
      </c>
      <c r="E90" s="1">
        <v>19</v>
      </c>
      <c r="F90" s="1">
        <v>16</v>
      </c>
      <c r="G90" s="1">
        <v>16</v>
      </c>
      <c r="H90" s="1">
        <v>15</v>
      </c>
      <c r="I90" s="1">
        <v>16</v>
      </c>
      <c r="J90" s="1">
        <v>17</v>
      </c>
      <c r="K90" s="1">
        <v>17</v>
      </c>
      <c r="L90" s="1">
        <v>17</v>
      </c>
      <c r="M90" s="1">
        <v>17</v>
      </c>
      <c r="N90" s="1">
        <v>18</v>
      </c>
      <c r="O90" s="1">
        <v>15</v>
      </c>
      <c r="P90" s="22">
        <f t="shared" si="33"/>
        <v>202</v>
      </c>
      <c r="Q90" s="53">
        <f t="shared" si="34"/>
        <v>16.833333333333332</v>
      </c>
      <c r="S90" s="6" t="s">
        <v>50</v>
      </c>
      <c r="T90" s="51">
        <f>(SUMSQ(W88:Y88)/(12*3))-T87</f>
        <v>115.79629629629198</v>
      </c>
      <c r="AA90" s="51"/>
      <c r="AC90" s="3" t="s">
        <v>33</v>
      </c>
      <c r="AD90" s="2">
        <f>(3*3*12)-1</f>
        <v>107</v>
      </c>
      <c r="AE90" s="53">
        <f>T88</f>
        <v>1544.324074074073</v>
      </c>
      <c r="AF90" s="53"/>
      <c r="AG90" s="53"/>
      <c r="AH90" s="53"/>
      <c r="AI90" s="53"/>
      <c r="AJ90" s="2"/>
      <c r="AK90" s="2"/>
      <c r="AM90" s="60" t="s">
        <v>13</v>
      </c>
      <c r="AN90" s="53">
        <v>16.833333333333332</v>
      </c>
      <c r="AO90" s="53" t="s">
        <v>93</v>
      </c>
      <c r="AP90" s="53">
        <f>AN90+AN86</f>
        <v>21.055977155320036</v>
      </c>
      <c r="AS90" s="3" t="s">
        <v>70</v>
      </c>
      <c r="AT90" s="2">
        <f>AT91-AT85-AT86</f>
        <v>88</v>
      </c>
      <c r="AU90" s="53">
        <f>AU91-AU85-AU86</f>
        <v>946.59259259259125</v>
      </c>
      <c r="AV90" s="53">
        <f t="shared" si="31"/>
        <v>10.756734006733991</v>
      </c>
      <c r="AW90" s="53"/>
      <c r="AX90" s="53"/>
      <c r="AY90" s="53"/>
      <c r="AZ90" s="2"/>
      <c r="BA90" s="2"/>
    </row>
    <row r="91" spans="1:53" ht="15.5" x14ac:dyDescent="0.3">
      <c r="A91" s="73"/>
      <c r="B91" s="75"/>
      <c r="C91" s="21" t="s">
        <v>14</v>
      </c>
      <c r="D91" s="1">
        <v>15</v>
      </c>
      <c r="E91" s="1">
        <v>15</v>
      </c>
      <c r="F91" s="1">
        <v>21</v>
      </c>
      <c r="G91" s="1">
        <v>21</v>
      </c>
      <c r="H91" s="1">
        <v>16</v>
      </c>
      <c r="I91" s="1">
        <v>23</v>
      </c>
      <c r="J91" s="1">
        <v>17</v>
      </c>
      <c r="K91" s="1">
        <v>18</v>
      </c>
      <c r="L91" s="1">
        <v>14</v>
      </c>
      <c r="M91" s="1">
        <v>17</v>
      </c>
      <c r="N91" s="1">
        <v>19</v>
      </c>
      <c r="O91" s="1">
        <v>20</v>
      </c>
      <c r="P91" s="22">
        <f t="shared" si="33"/>
        <v>216</v>
      </c>
      <c r="Q91" s="53">
        <f t="shared" si="34"/>
        <v>18</v>
      </c>
      <c r="S91" s="6" t="s">
        <v>49</v>
      </c>
      <c r="T91" s="51">
        <f>(SUMSQ(Z85:Z87)/(12*3))-T87</f>
        <v>269.01851851851825</v>
      </c>
      <c r="AA91" s="51"/>
      <c r="AE91" s="51"/>
      <c r="AF91" s="51"/>
      <c r="AG91" s="51"/>
      <c r="AH91" s="51"/>
      <c r="AI91" s="51"/>
      <c r="AM91" s="60" t="s">
        <v>14</v>
      </c>
      <c r="AN91" s="53">
        <v>18</v>
      </c>
      <c r="AO91" s="53" t="s">
        <v>93</v>
      </c>
      <c r="AP91" s="53">
        <f>AN91+AN86</f>
        <v>22.222643821986704</v>
      </c>
      <c r="AS91" s="3" t="s">
        <v>33</v>
      </c>
      <c r="AT91" s="2">
        <f>(3*3*12)-1</f>
        <v>107</v>
      </c>
      <c r="AU91" s="53">
        <f>SUMSQ(D86:O94)-AT94</f>
        <v>1544.324074074073</v>
      </c>
      <c r="AV91" s="53"/>
      <c r="AW91" s="53"/>
      <c r="AX91" s="53"/>
      <c r="AY91" s="53"/>
      <c r="AZ91" s="2"/>
      <c r="BA91" s="2"/>
    </row>
    <row r="92" spans="1:53" ht="15.5" x14ac:dyDescent="0.3">
      <c r="A92" s="73"/>
      <c r="B92" s="75"/>
      <c r="C92" s="21" t="s">
        <v>15</v>
      </c>
      <c r="D92" s="1">
        <v>15</v>
      </c>
      <c r="E92" s="1">
        <v>20</v>
      </c>
      <c r="F92" s="1">
        <v>18</v>
      </c>
      <c r="G92" s="1">
        <v>14</v>
      </c>
      <c r="H92" s="1">
        <v>8</v>
      </c>
      <c r="I92" s="1">
        <v>18</v>
      </c>
      <c r="J92" s="1">
        <v>15</v>
      </c>
      <c r="K92" s="1">
        <v>19</v>
      </c>
      <c r="L92" s="1">
        <v>21</v>
      </c>
      <c r="M92" s="1">
        <v>13</v>
      </c>
      <c r="N92" s="1">
        <v>17</v>
      </c>
      <c r="O92" s="1">
        <v>19</v>
      </c>
      <c r="P92" s="22">
        <f t="shared" si="33"/>
        <v>197</v>
      </c>
      <c r="Q92" s="53">
        <f t="shared" si="34"/>
        <v>16.416666666666668</v>
      </c>
      <c r="S92" s="6" t="s">
        <v>51</v>
      </c>
      <c r="T92" s="51">
        <f>(SUMSQ(W85:Y87)/(12))-T87-T90-T91</f>
        <v>88.592592592598521</v>
      </c>
      <c r="AA92" s="51"/>
      <c r="AE92" s="51"/>
      <c r="AF92" s="51"/>
      <c r="AG92" s="51"/>
      <c r="AH92" s="51"/>
      <c r="AI92" s="51"/>
      <c r="AM92" s="60" t="s">
        <v>12</v>
      </c>
      <c r="AN92" s="53">
        <v>18.083333333333332</v>
      </c>
      <c r="AO92" s="53" t="s">
        <v>99</v>
      </c>
      <c r="AP92" s="53">
        <f>AN92+AN86</f>
        <v>22.305977155320036</v>
      </c>
    </row>
    <row r="93" spans="1:53" ht="15.5" x14ac:dyDescent="0.3">
      <c r="A93" s="73"/>
      <c r="B93" s="75"/>
      <c r="C93" s="21" t="s">
        <v>16</v>
      </c>
      <c r="D93" s="1">
        <v>21</v>
      </c>
      <c r="E93" s="1">
        <v>23</v>
      </c>
      <c r="F93" s="1">
        <v>23</v>
      </c>
      <c r="G93" s="1">
        <v>14</v>
      </c>
      <c r="H93" s="1">
        <v>12</v>
      </c>
      <c r="I93" s="1">
        <v>16</v>
      </c>
      <c r="J93" s="1">
        <v>23</v>
      </c>
      <c r="K93" s="1">
        <v>22</v>
      </c>
      <c r="L93" s="1">
        <v>23</v>
      </c>
      <c r="M93" s="1">
        <v>14</v>
      </c>
      <c r="N93" s="1">
        <v>23</v>
      </c>
      <c r="O93" s="1">
        <v>11</v>
      </c>
      <c r="P93" s="22">
        <f t="shared" si="33"/>
        <v>225</v>
      </c>
      <c r="Q93" s="53">
        <f t="shared" si="34"/>
        <v>18.75</v>
      </c>
      <c r="S93" s="6" t="s">
        <v>52</v>
      </c>
      <c r="T93" s="51">
        <f>T88-T89-T90-T91-T92</f>
        <v>946.59259259259125</v>
      </c>
      <c r="AA93" s="51"/>
      <c r="AE93" s="51"/>
      <c r="AF93" s="51"/>
      <c r="AG93" s="51"/>
      <c r="AH93" s="51"/>
      <c r="AI93" s="51"/>
      <c r="AM93" s="60" t="s">
        <v>16</v>
      </c>
      <c r="AN93" s="53">
        <v>18.75</v>
      </c>
      <c r="AO93" s="53" t="s">
        <v>100</v>
      </c>
      <c r="AP93" s="53">
        <f>AN93+AN86</f>
        <v>22.972643821986704</v>
      </c>
    </row>
    <row r="94" spans="1:53" ht="15.5" x14ac:dyDescent="0.3">
      <c r="A94" s="73"/>
      <c r="B94" s="75"/>
      <c r="C94" s="21" t="s">
        <v>17</v>
      </c>
      <c r="D94" s="1">
        <v>19</v>
      </c>
      <c r="E94" s="1">
        <v>21</v>
      </c>
      <c r="F94" s="1">
        <v>27</v>
      </c>
      <c r="G94" s="1">
        <v>19</v>
      </c>
      <c r="H94" s="1">
        <v>17</v>
      </c>
      <c r="I94" s="1">
        <v>19</v>
      </c>
      <c r="J94" s="1">
        <v>20</v>
      </c>
      <c r="K94" s="1">
        <v>26</v>
      </c>
      <c r="L94" s="1">
        <v>25</v>
      </c>
      <c r="M94" s="1">
        <v>21</v>
      </c>
      <c r="N94" s="1">
        <v>19</v>
      </c>
      <c r="O94" s="1">
        <v>11</v>
      </c>
      <c r="P94" s="22">
        <f t="shared" si="33"/>
        <v>244</v>
      </c>
      <c r="Q94" s="53">
        <f t="shared" si="34"/>
        <v>20.333333333333332</v>
      </c>
      <c r="AA94" s="51"/>
      <c r="AE94" s="51"/>
      <c r="AF94" s="51"/>
      <c r="AG94" s="51"/>
      <c r="AH94" s="51"/>
      <c r="AI94" s="51"/>
      <c r="AM94" s="60" t="s">
        <v>9</v>
      </c>
      <c r="AN94" s="53">
        <v>19</v>
      </c>
      <c r="AO94" s="53" t="s">
        <v>100</v>
      </c>
      <c r="AP94" s="53">
        <f>AN94+AN86</f>
        <v>23.222643821986704</v>
      </c>
      <c r="AS94" s="2" t="s">
        <v>46</v>
      </c>
      <c r="AT94" s="53">
        <f>P95^2/(3*3*12)</f>
        <v>39636.675925925927</v>
      </c>
    </row>
    <row r="95" spans="1:53" x14ac:dyDescent="0.3">
      <c r="A95" s="73"/>
      <c r="B95" s="75"/>
      <c r="C95" s="20" t="s">
        <v>33</v>
      </c>
      <c r="D95" s="23">
        <f>SUM(D86:D94)</f>
        <v>162</v>
      </c>
      <c r="E95" s="23">
        <f t="shared" ref="E95:O95" si="35">SUM(E86:E94)</f>
        <v>181</v>
      </c>
      <c r="F95" s="23">
        <f t="shared" si="35"/>
        <v>190</v>
      </c>
      <c r="G95" s="23">
        <f t="shared" si="35"/>
        <v>177</v>
      </c>
      <c r="H95" s="23">
        <f t="shared" si="35"/>
        <v>156</v>
      </c>
      <c r="I95" s="23">
        <f t="shared" si="35"/>
        <v>175</v>
      </c>
      <c r="J95" s="23">
        <f t="shared" si="35"/>
        <v>167</v>
      </c>
      <c r="K95" s="23">
        <f t="shared" si="35"/>
        <v>182</v>
      </c>
      <c r="L95" s="23">
        <f t="shared" si="35"/>
        <v>180</v>
      </c>
      <c r="M95" s="23">
        <f t="shared" si="35"/>
        <v>166</v>
      </c>
      <c r="N95" s="23">
        <f t="shared" si="35"/>
        <v>171</v>
      </c>
      <c r="O95" s="23">
        <f t="shared" si="35"/>
        <v>162</v>
      </c>
      <c r="P95" s="22">
        <f t="shared" si="33"/>
        <v>2069</v>
      </c>
      <c r="Q95" s="53"/>
      <c r="AA95" s="51"/>
      <c r="AE95" s="51"/>
      <c r="AF95" s="51"/>
      <c r="AG95" s="51"/>
      <c r="AH95" s="51"/>
      <c r="AI95" s="51"/>
      <c r="AM95" s="60" t="s">
        <v>17</v>
      </c>
      <c r="AN95" s="53">
        <v>20.333333333333332</v>
      </c>
      <c r="AO95" s="53" t="s">
        <v>100</v>
      </c>
      <c r="AP95" s="53">
        <f>AN95+AN86</f>
        <v>24.555977155320036</v>
      </c>
    </row>
    <row r="96" spans="1:53" x14ac:dyDescent="0.3">
      <c r="A96" s="66"/>
      <c r="B96" s="76"/>
      <c r="C96" s="20" t="s">
        <v>32</v>
      </c>
      <c r="D96" s="53">
        <f>AVERAGE(D86:D94)</f>
        <v>18</v>
      </c>
      <c r="E96" s="53">
        <f t="shared" ref="E96:O96" si="36">AVERAGE(E86:E94)</f>
        <v>20.111111111111111</v>
      </c>
      <c r="F96" s="53">
        <f t="shared" si="36"/>
        <v>21.111111111111111</v>
      </c>
      <c r="G96" s="53">
        <f t="shared" si="36"/>
        <v>19.666666666666668</v>
      </c>
      <c r="H96" s="53">
        <f t="shared" si="36"/>
        <v>17.333333333333332</v>
      </c>
      <c r="I96" s="53">
        <f t="shared" si="36"/>
        <v>19.444444444444443</v>
      </c>
      <c r="J96" s="53">
        <f t="shared" si="36"/>
        <v>18.555555555555557</v>
      </c>
      <c r="K96" s="53">
        <f t="shared" si="36"/>
        <v>20.222222222222221</v>
      </c>
      <c r="L96" s="53">
        <f t="shared" si="36"/>
        <v>20</v>
      </c>
      <c r="M96" s="53">
        <f t="shared" si="36"/>
        <v>18.444444444444443</v>
      </c>
      <c r="N96" s="53">
        <f t="shared" si="36"/>
        <v>19</v>
      </c>
      <c r="O96" s="53">
        <f t="shared" si="36"/>
        <v>18</v>
      </c>
      <c r="P96" s="2"/>
      <c r="Q96" s="53"/>
      <c r="AA96" s="51"/>
      <c r="AE96" s="51"/>
      <c r="AF96" s="51"/>
      <c r="AG96" s="51"/>
      <c r="AH96" s="51"/>
      <c r="AI96" s="51"/>
      <c r="AM96" s="60" t="s">
        <v>10</v>
      </c>
      <c r="AN96" s="53">
        <v>22.25</v>
      </c>
      <c r="AO96" s="53" t="s">
        <v>101</v>
      </c>
      <c r="AP96" s="53">
        <f>AN96+AN86</f>
        <v>26.472643821986704</v>
      </c>
    </row>
    <row r="97" spans="1:53" x14ac:dyDescent="0.3">
      <c r="Q97" s="51"/>
      <c r="AA97" s="51"/>
      <c r="AE97" s="51"/>
      <c r="AF97" s="51"/>
      <c r="AG97" s="51"/>
      <c r="AH97" s="51"/>
      <c r="AI97" s="51"/>
      <c r="AM97" s="60" t="s">
        <v>11</v>
      </c>
      <c r="AN97" s="53">
        <v>22.75</v>
      </c>
      <c r="AO97" s="53" t="s">
        <v>102</v>
      </c>
      <c r="AP97" s="53">
        <f>AN97+AN86</f>
        <v>26.972643821986704</v>
      </c>
    </row>
    <row r="98" spans="1:53" x14ac:dyDescent="0.3">
      <c r="Q98" s="51"/>
      <c r="AA98" s="51"/>
      <c r="AE98" s="51"/>
      <c r="AF98" s="51"/>
      <c r="AG98" s="51"/>
      <c r="AH98" s="51"/>
      <c r="AI98" s="51"/>
      <c r="AM98" s="51"/>
      <c r="AN98" s="51"/>
      <c r="AO98" s="51"/>
      <c r="AP98" s="51"/>
      <c r="AS98" s="6" t="s">
        <v>97</v>
      </c>
    </row>
    <row r="99" spans="1:53" x14ac:dyDescent="0.3">
      <c r="A99" s="3" t="s">
        <v>18</v>
      </c>
      <c r="B99" s="3" t="s">
        <v>20</v>
      </c>
      <c r="C99" s="87" t="s">
        <v>0</v>
      </c>
      <c r="D99" s="69" t="s">
        <v>1</v>
      </c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5" t="s">
        <v>33</v>
      </c>
      <c r="Q99" s="67" t="s">
        <v>32</v>
      </c>
      <c r="V99" s="65" t="s">
        <v>53</v>
      </c>
      <c r="W99" s="70" t="s">
        <v>54</v>
      </c>
      <c r="X99" s="71"/>
      <c r="Y99" s="72"/>
      <c r="Z99" s="65" t="s">
        <v>33</v>
      </c>
      <c r="AA99" s="67" t="s">
        <v>32</v>
      </c>
      <c r="AC99" s="65" t="s">
        <v>61</v>
      </c>
      <c r="AD99" s="65" t="s">
        <v>62</v>
      </c>
      <c r="AE99" s="67" t="s">
        <v>63</v>
      </c>
      <c r="AF99" s="67" t="s">
        <v>64</v>
      </c>
      <c r="AG99" s="67" t="s">
        <v>65</v>
      </c>
      <c r="AH99" s="64" t="s">
        <v>66</v>
      </c>
      <c r="AI99" s="64"/>
      <c r="AJ99" s="65" t="s">
        <v>67</v>
      </c>
      <c r="AK99" s="65" t="s">
        <v>68</v>
      </c>
      <c r="AM99" s="80" t="s">
        <v>80</v>
      </c>
      <c r="AN99" s="80"/>
      <c r="AO99" s="51"/>
      <c r="AP99" s="51"/>
      <c r="AS99" s="65" t="s">
        <v>61</v>
      </c>
      <c r="AT99" s="65" t="s">
        <v>62</v>
      </c>
      <c r="AU99" s="65" t="s">
        <v>63</v>
      </c>
      <c r="AV99" s="65" t="s">
        <v>64</v>
      </c>
      <c r="AW99" s="65" t="s">
        <v>65</v>
      </c>
      <c r="AX99" s="69" t="s">
        <v>66</v>
      </c>
      <c r="AY99" s="69"/>
      <c r="AZ99" s="65" t="s">
        <v>67</v>
      </c>
      <c r="BA99" s="65" t="s">
        <v>68</v>
      </c>
    </row>
    <row r="100" spans="1:53" x14ac:dyDescent="0.3">
      <c r="A100" s="65">
        <v>9</v>
      </c>
      <c r="B100" s="74" t="s">
        <v>42</v>
      </c>
      <c r="C100" s="87"/>
      <c r="D100" s="69" t="s">
        <v>2</v>
      </c>
      <c r="E100" s="69"/>
      <c r="F100" s="69"/>
      <c r="G100" s="69"/>
      <c r="H100" s="69" t="s">
        <v>7</v>
      </c>
      <c r="I100" s="69"/>
      <c r="J100" s="69"/>
      <c r="K100" s="69"/>
      <c r="L100" s="69" t="s">
        <v>8</v>
      </c>
      <c r="M100" s="69"/>
      <c r="N100" s="69"/>
      <c r="O100" s="69"/>
      <c r="P100" s="73"/>
      <c r="Q100" s="77"/>
      <c r="S100" s="6" t="s">
        <v>71</v>
      </c>
      <c r="T100" s="6">
        <v>12</v>
      </c>
      <c r="V100" s="66"/>
      <c r="W100" s="3" t="s">
        <v>55</v>
      </c>
      <c r="X100" s="3" t="s">
        <v>56</v>
      </c>
      <c r="Y100" s="3" t="s">
        <v>57</v>
      </c>
      <c r="Z100" s="66"/>
      <c r="AA100" s="68"/>
      <c r="AC100" s="66"/>
      <c r="AD100" s="66"/>
      <c r="AE100" s="68"/>
      <c r="AF100" s="68"/>
      <c r="AG100" s="68"/>
      <c r="AH100" s="59">
        <v>0.05</v>
      </c>
      <c r="AI100" s="59">
        <v>0.01</v>
      </c>
      <c r="AJ100" s="66"/>
      <c r="AK100" s="66"/>
      <c r="AM100" s="54" t="s">
        <v>74</v>
      </c>
      <c r="AN100" s="54">
        <f>SQRT(AF105/12)</f>
        <v>0.95568547977428031</v>
      </c>
      <c r="AO100" s="56"/>
      <c r="AP100" s="55" t="s">
        <v>90</v>
      </c>
      <c r="AS100" s="66"/>
      <c r="AT100" s="66"/>
      <c r="AU100" s="66"/>
      <c r="AV100" s="66"/>
      <c r="AW100" s="66"/>
      <c r="AX100" s="42">
        <v>0.05</v>
      </c>
      <c r="AY100" s="42">
        <v>0.01</v>
      </c>
      <c r="AZ100" s="66"/>
      <c r="BA100" s="66"/>
    </row>
    <row r="101" spans="1:53" x14ac:dyDescent="0.3">
      <c r="A101" s="73"/>
      <c r="B101" s="75"/>
      <c r="C101" s="87"/>
      <c r="D101" s="18" t="s">
        <v>3</v>
      </c>
      <c r="E101" s="18" t="s">
        <v>4</v>
      </c>
      <c r="F101" s="18" t="s">
        <v>5</v>
      </c>
      <c r="G101" s="18" t="s">
        <v>6</v>
      </c>
      <c r="H101" s="18" t="s">
        <v>3</v>
      </c>
      <c r="I101" s="18" t="s">
        <v>4</v>
      </c>
      <c r="J101" s="18" t="s">
        <v>5</v>
      </c>
      <c r="K101" s="18" t="s">
        <v>6</v>
      </c>
      <c r="L101" s="18" t="s">
        <v>3</v>
      </c>
      <c r="M101" s="18" t="s">
        <v>4</v>
      </c>
      <c r="N101" s="18" t="s">
        <v>5</v>
      </c>
      <c r="O101" s="18" t="s">
        <v>6</v>
      </c>
      <c r="P101" s="66"/>
      <c r="Q101" s="68"/>
      <c r="S101" s="6" t="s">
        <v>44</v>
      </c>
      <c r="T101" s="6">
        <v>3</v>
      </c>
      <c r="V101" s="3" t="s">
        <v>58</v>
      </c>
      <c r="W101" s="2">
        <f>SUM(D102:O102)</f>
        <v>227</v>
      </c>
      <c r="X101" s="2">
        <f>SUM(D103:O103)</f>
        <v>256</v>
      </c>
      <c r="Y101" s="2">
        <f>SUM(D104:O104)</f>
        <v>258</v>
      </c>
      <c r="Z101" s="2">
        <f>SUM(W101:Y101)</f>
        <v>741</v>
      </c>
      <c r="AA101" s="53">
        <f>AVERAGE(W101:Y101)</f>
        <v>247</v>
      </c>
      <c r="AC101" s="3" t="s">
        <v>43</v>
      </c>
      <c r="AD101" s="2">
        <f>12-1</f>
        <v>11</v>
      </c>
      <c r="AE101" s="53">
        <f>T105</f>
        <v>151.43518518518977</v>
      </c>
      <c r="AF101" s="53">
        <f>AE101/AD101</f>
        <v>13.766835016835433</v>
      </c>
      <c r="AG101" s="53">
        <f>AF101/AF105</f>
        <v>1.2560961560616422</v>
      </c>
      <c r="AH101" s="53">
        <f>FINV(AH100,AD101,AD105)</f>
        <v>1.8991710184693407</v>
      </c>
      <c r="AI101" s="53">
        <f>FINV(AI100,AD101,AD105)</f>
        <v>2.4560580535880434</v>
      </c>
      <c r="AJ101" s="30" t="s">
        <v>95</v>
      </c>
      <c r="AK101" s="2"/>
      <c r="AM101" s="53" t="s">
        <v>75</v>
      </c>
      <c r="AN101" s="54">
        <v>4.46</v>
      </c>
      <c r="AO101" s="51"/>
      <c r="AP101" s="51"/>
      <c r="AS101" s="3" t="s">
        <v>43</v>
      </c>
      <c r="AT101" s="2">
        <f>12-1</f>
        <v>11</v>
      </c>
      <c r="AU101" s="6">
        <f>SUMSQ(D111:O111)/(3*3)-AT110</f>
        <v>151.43518518518977</v>
      </c>
      <c r="AV101" s="53">
        <f>AU101/AT101</f>
        <v>13.766835016835433</v>
      </c>
      <c r="AW101" s="53">
        <f>AV101/AV106</f>
        <v>1.2560961560616422</v>
      </c>
      <c r="AX101" s="53">
        <f>FINV(AX100,AT101,AT106)</f>
        <v>1.8991710184693407</v>
      </c>
      <c r="AY101" s="53">
        <f>FINV(AY100,AT101,AT106)</f>
        <v>2.4560580535880434</v>
      </c>
      <c r="AZ101" s="2" t="str">
        <f>IF(AW101&gt;AY101,"**",IF(AW101&gt;AX101,"*","TN"))</f>
        <v>TN</v>
      </c>
      <c r="BA101" s="2" t="str">
        <f>IF(AZ101="TN","Tidak Nyata",IF(AZ101="*","Nyata",IF(AZ101="**","Sangat Nyata",0)))</f>
        <v>Tidak Nyata</v>
      </c>
    </row>
    <row r="102" spans="1:53" ht="15.5" x14ac:dyDescent="0.3">
      <c r="A102" s="73"/>
      <c r="B102" s="75"/>
      <c r="C102" s="21" t="s">
        <v>9</v>
      </c>
      <c r="D102" s="1">
        <v>14</v>
      </c>
      <c r="E102" s="1">
        <v>18</v>
      </c>
      <c r="F102" s="1">
        <v>24</v>
      </c>
      <c r="G102" s="1">
        <v>24</v>
      </c>
      <c r="H102" s="1">
        <v>22</v>
      </c>
      <c r="I102" s="1">
        <v>18</v>
      </c>
      <c r="J102" s="1">
        <v>11</v>
      </c>
      <c r="K102" s="1">
        <v>19</v>
      </c>
      <c r="L102" s="1">
        <v>21</v>
      </c>
      <c r="M102" s="1">
        <v>22</v>
      </c>
      <c r="N102" s="1">
        <v>11</v>
      </c>
      <c r="O102" s="1">
        <v>23</v>
      </c>
      <c r="P102" s="22">
        <f>SUM(D102:O102)</f>
        <v>227</v>
      </c>
      <c r="Q102" s="53">
        <f>AVERAGE(D102:O102)</f>
        <v>18.916666666666668</v>
      </c>
      <c r="S102" s="6" t="s">
        <v>45</v>
      </c>
      <c r="T102" s="6">
        <v>3</v>
      </c>
      <c r="V102" s="3" t="s">
        <v>59</v>
      </c>
      <c r="W102" s="2">
        <f>SUM(D105:O105)</f>
        <v>217</v>
      </c>
      <c r="X102" s="2">
        <f>SUM(D106:O106)</f>
        <v>202</v>
      </c>
      <c r="Y102" s="2">
        <f>SUM(D107:O107)</f>
        <v>216</v>
      </c>
      <c r="Z102" s="2">
        <f>SUM(W102:Y102)</f>
        <v>635</v>
      </c>
      <c r="AA102" s="53">
        <f>AVERAGE(W102:Y102)</f>
        <v>211.66666666666666</v>
      </c>
      <c r="AC102" s="3" t="s">
        <v>45</v>
      </c>
      <c r="AD102" s="2">
        <f>3-1</f>
        <v>2</v>
      </c>
      <c r="AE102" s="53">
        <f>T106</f>
        <v>56.518518518518249</v>
      </c>
      <c r="AF102" s="53">
        <f>AE102/AD102</f>
        <v>28.259259259259125</v>
      </c>
      <c r="AG102" s="53">
        <f>AF102/AF105</f>
        <v>2.5783956069275438</v>
      </c>
      <c r="AH102" s="53">
        <f>FINV(AH100,AD102,AD105)</f>
        <v>3.1000686386371408</v>
      </c>
      <c r="AI102" s="53">
        <f>FINV(AI100,AD102,AD105)</f>
        <v>4.8547979993760721</v>
      </c>
      <c r="AJ102" s="30" t="s">
        <v>95</v>
      </c>
      <c r="AK102" s="2"/>
      <c r="AM102" s="53" t="s">
        <v>76</v>
      </c>
      <c r="AN102" s="54">
        <f>AN101*AN100</f>
        <v>4.2623572397932898</v>
      </c>
      <c r="AO102" s="51"/>
      <c r="AP102" s="51"/>
      <c r="AS102" s="3" t="s">
        <v>98</v>
      </c>
      <c r="AT102" s="2">
        <f>3*3-1</f>
        <v>8</v>
      </c>
      <c r="AU102" s="53">
        <f>SUMSQ(P102:P110)/12-AT110</f>
        <v>418.18518518518977</v>
      </c>
      <c r="AV102" s="53">
        <f t="shared" ref="AV102:AV106" si="37">AU102/AT102</f>
        <v>52.273148148148721</v>
      </c>
      <c r="AW102" s="53">
        <f>AV102/AV106</f>
        <v>4.7694404976768272</v>
      </c>
      <c r="AX102" s="53">
        <f>FINV(AX100,AT102,AT106)</f>
        <v>2.0454143150341193</v>
      </c>
      <c r="AY102" s="53">
        <f>FINV(AY100,AT102,AT106)</f>
        <v>2.720181875728696</v>
      </c>
      <c r="AZ102" s="2" t="str">
        <f>IF(AW102&gt;AY102,"**",IF(AW102&gt;AX102,"*","TN"))</f>
        <v>**</v>
      </c>
      <c r="BA102" s="2" t="str">
        <f t="shared" ref="BA102:BA105" si="38">IF(AZ102="TN","Tidak Nyata",IF(AZ102="*","Nyata",IF(AZ102="**","Sangat Nyata",0)))</f>
        <v>Sangat Nyata</v>
      </c>
    </row>
    <row r="103" spans="1:53" x14ac:dyDescent="0.3">
      <c r="A103" s="73"/>
      <c r="B103" s="75"/>
      <c r="C103" s="21" t="s">
        <v>10</v>
      </c>
      <c r="D103" s="2">
        <v>21</v>
      </c>
      <c r="E103" s="2">
        <v>22</v>
      </c>
      <c r="F103" s="2">
        <v>21</v>
      </c>
      <c r="G103" s="2">
        <v>23</v>
      </c>
      <c r="H103" s="2">
        <v>22</v>
      </c>
      <c r="I103" s="2">
        <v>22</v>
      </c>
      <c r="J103" s="2">
        <v>22</v>
      </c>
      <c r="K103" s="2">
        <v>21</v>
      </c>
      <c r="L103" s="2">
        <v>19</v>
      </c>
      <c r="M103" s="2">
        <v>21</v>
      </c>
      <c r="N103" s="2">
        <v>21</v>
      </c>
      <c r="O103" s="2">
        <v>21</v>
      </c>
      <c r="P103" s="22">
        <f t="shared" ref="P103:P111" si="39">SUM(D103:O103)</f>
        <v>256</v>
      </c>
      <c r="Q103" s="53">
        <f t="shared" ref="Q103:Q110" si="40">AVERAGE(D103:O103)</f>
        <v>21.333333333333332</v>
      </c>
      <c r="S103" s="6" t="s">
        <v>46</v>
      </c>
      <c r="T103" s="51">
        <f>(P111^2)/(12*3*3)</f>
        <v>36116.898148148146</v>
      </c>
      <c r="V103" s="3" t="s">
        <v>60</v>
      </c>
      <c r="W103" s="2">
        <f>SUM(D108:O108)</f>
        <v>179</v>
      </c>
      <c r="X103" s="2">
        <f>SUM(D109:O109)</f>
        <v>209</v>
      </c>
      <c r="Y103" s="2">
        <f>SUM(D110:O110)</f>
        <v>211</v>
      </c>
      <c r="Z103" s="2">
        <f>SUM(W103:Y103)</f>
        <v>599</v>
      </c>
      <c r="AA103" s="53">
        <f>AVERAGE(W103:Y103)</f>
        <v>199.66666666666666</v>
      </c>
      <c r="AC103" s="3" t="s">
        <v>44</v>
      </c>
      <c r="AD103" s="2">
        <f>3-1</f>
        <v>2</v>
      </c>
      <c r="AE103" s="53">
        <f>T107</f>
        <v>302.74074074074451</v>
      </c>
      <c r="AF103" s="53">
        <f>AE103/AD103</f>
        <v>151.37037037037226</v>
      </c>
      <c r="AG103" s="53">
        <f>AF103/AF105</f>
        <v>13.811143965285783</v>
      </c>
      <c r="AH103" s="53">
        <f>FINV(AH100,AD103,AD105)</f>
        <v>3.1000686386371408</v>
      </c>
      <c r="AI103" s="53">
        <f>FINV(AI100,AD103,AD105)</f>
        <v>4.8547979993760721</v>
      </c>
      <c r="AJ103" s="30" t="s">
        <v>72</v>
      </c>
      <c r="AK103" s="2"/>
      <c r="AM103" s="51"/>
      <c r="AN103" s="51"/>
      <c r="AO103" s="51"/>
      <c r="AP103" s="51"/>
      <c r="AS103" s="3" t="s">
        <v>45</v>
      </c>
      <c r="AT103" s="2">
        <f>3-1</f>
        <v>2</v>
      </c>
      <c r="AU103" s="53">
        <f>SUMSQ(W104:Y104)/(3*12)-AT110</f>
        <v>56.518518518518249</v>
      </c>
      <c r="AV103" s="53">
        <f t="shared" si="37"/>
        <v>28.259259259259125</v>
      </c>
      <c r="AW103" s="53">
        <f>AV103/AV106</f>
        <v>2.5783956069275438</v>
      </c>
      <c r="AX103" s="53">
        <f>FINV(AX100,AT103,AT106)</f>
        <v>3.1000686386371408</v>
      </c>
      <c r="AY103" s="53">
        <f>FINV(AY100,AT103,AT106)</f>
        <v>4.8547979993760721</v>
      </c>
      <c r="AZ103" s="2" t="str">
        <f>IF(AW103&gt;AY103,"**",IF(AW103&gt;AX103,"*","TN"))</f>
        <v>TN</v>
      </c>
      <c r="BA103" s="2" t="str">
        <f t="shared" si="38"/>
        <v>Tidak Nyata</v>
      </c>
    </row>
    <row r="104" spans="1:53" x14ac:dyDescent="0.3">
      <c r="A104" s="73"/>
      <c r="B104" s="75"/>
      <c r="C104" s="21" t="s">
        <v>11</v>
      </c>
      <c r="D104" s="2">
        <v>20</v>
      </c>
      <c r="E104" s="2">
        <v>23</v>
      </c>
      <c r="F104" s="2">
        <v>22</v>
      </c>
      <c r="G104" s="2">
        <v>23</v>
      </c>
      <c r="H104" s="2">
        <v>21</v>
      </c>
      <c r="I104" s="2">
        <v>21</v>
      </c>
      <c r="J104" s="2">
        <v>23</v>
      </c>
      <c r="K104" s="2">
        <v>22</v>
      </c>
      <c r="L104" s="2">
        <v>22</v>
      </c>
      <c r="M104" s="2">
        <v>20</v>
      </c>
      <c r="N104" s="2">
        <v>19</v>
      </c>
      <c r="O104" s="2">
        <v>22</v>
      </c>
      <c r="P104" s="22">
        <f t="shared" si="39"/>
        <v>258</v>
      </c>
      <c r="Q104" s="53">
        <f t="shared" si="40"/>
        <v>21.5</v>
      </c>
      <c r="S104" s="6" t="s">
        <v>47</v>
      </c>
      <c r="T104" s="51">
        <f>SUMSQ(D102:O110)-T103</f>
        <v>1534.101851851854</v>
      </c>
      <c r="V104" s="3" t="s">
        <v>33</v>
      </c>
      <c r="W104" s="2">
        <f>SUM(W101:W103)</f>
        <v>623</v>
      </c>
      <c r="X104" s="2">
        <f>SUM(X101:X103)</f>
        <v>667</v>
      </c>
      <c r="Y104" s="2">
        <f>SUM(Y101:Y103)</f>
        <v>685</v>
      </c>
      <c r="Z104" s="2">
        <f>SUM(W104:Y104)</f>
        <v>1975</v>
      </c>
      <c r="AA104" s="53">
        <f>AVERAGE(W104:Y104)</f>
        <v>658.33333333333337</v>
      </c>
      <c r="AC104" s="3" t="s">
        <v>69</v>
      </c>
      <c r="AD104" s="2">
        <f>(3-1)*(3-1)</f>
        <v>4</v>
      </c>
      <c r="AE104" s="53">
        <f>T108</f>
        <v>58.925925925927004</v>
      </c>
      <c r="AF104" s="53">
        <f>AE104/AD104</f>
        <v>14.731481481481751</v>
      </c>
      <c r="AG104" s="53">
        <f>AF104/AF105</f>
        <v>1.3441112092469911</v>
      </c>
      <c r="AH104" s="53">
        <f>FINV(AH100,AD104,AD105)</f>
        <v>2.4752774088696223</v>
      </c>
      <c r="AI104" s="53">
        <f>FINV(AI100,AD104,AD105)</f>
        <v>3.5400845421240663</v>
      </c>
      <c r="AJ104" s="30" t="s">
        <v>95</v>
      </c>
      <c r="AK104" s="2"/>
      <c r="AM104" s="54" t="s">
        <v>0</v>
      </c>
      <c r="AN104" s="54" t="s">
        <v>32</v>
      </c>
      <c r="AO104" s="54" t="s">
        <v>67</v>
      </c>
      <c r="AP104" s="54" t="s">
        <v>77</v>
      </c>
      <c r="AS104" s="3" t="s">
        <v>44</v>
      </c>
      <c r="AT104" s="2">
        <f>3-1</f>
        <v>2</v>
      </c>
      <c r="AU104" s="53">
        <f>SUMSQ(Z101:Z103)/(3*12)-AT110</f>
        <v>302.74074074074451</v>
      </c>
      <c r="AV104" s="53">
        <f t="shared" si="37"/>
        <v>151.37037037037226</v>
      </c>
      <c r="AW104" s="53">
        <f>AV104/AV106</f>
        <v>13.811143965285783</v>
      </c>
      <c r="AX104" s="53">
        <f>FINV(AX100,AT104,AT106)</f>
        <v>3.1000686386371408</v>
      </c>
      <c r="AY104" s="53">
        <f>FINV(AY100,AT104,AT106)</f>
        <v>4.8547979993760721</v>
      </c>
      <c r="AZ104" s="2" t="str">
        <f>IF(AW104&gt;AY104,"**",IF(AW104&gt;AX104,"*","TN"))</f>
        <v>**</v>
      </c>
      <c r="BA104" s="2" t="str">
        <f t="shared" si="38"/>
        <v>Sangat Nyata</v>
      </c>
    </row>
    <row r="105" spans="1:53" ht="15.5" x14ac:dyDescent="0.3">
      <c r="A105" s="73"/>
      <c r="B105" s="75"/>
      <c r="C105" s="21" t="s">
        <v>12</v>
      </c>
      <c r="D105" s="1">
        <v>18</v>
      </c>
      <c r="E105" s="1">
        <v>16</v>
      </c>
      <c r="F105" s="1">
        <v>18</v>
      </c>
      <c r="G105" s="1">
        <v>23</v>
      </c>
      <c r="H105" s="1">
        <v>20</v>
      </c>
      <c r="I105" s="1">
        <v>19</v>
      </c>
      <c r="J105" s="1">
        <v>19</v>
      </c>
      <c r="K105" s="1">
        <v>18</v>
      </c>
      <c r="L105" s="1">
        <v>16</v>
      </c>
      <c r="M105" s="1">
        <v>17</v>
      </c>
      <c r="N105" s="1">
        <v>17</v>
      </c>
      <c r="O105" s="1">
        <v>16</v>
      </c>
      <c r="P105" s="22">
        <f t="shared" si="39"/>
        <v>217</v>
      </c>
      <c r="Q105" s="53">
        <f t="shared" si="40"/>
        <v>18.083333333333332</v>
      </c>
      <c r="S105" s="6" t="s">
        <v>48</v>
      </c>
      <c r="T105" s="51">
        <f>(SUMSQ(D111:O111)/(3*3))-T103</f>
        <v>151.43518518518977</v>
      </c>
      <c r="V105" s="3" t="s">
        <v>32</v>
      </c>
      <c r="W105" s="53">
        <f>AVERAGE(W101:W103)</f>
        <v>207.66666666666666</v>
      </c>
      <c r="X105" s="53">
        <f>AVERAGE(X101:X103)</f>
        <v>222.33333333333334</v>
      </c>
      <c r="Y105" s="53">
        <f>AVERAGE(Y101:Y103)</f>
        <v>228.33333333333334</v>
      </c>
      <c r="Z105" s="2"/>
      <c r="AA105" s="2"/>
      <c r="AC105" s="3" t="s">
        <v>70</v>
      </c>
      <c r="AD105" s="2">
        <f>((3*3)-1)*(12-1)</f>
        <v>88</v>
      </c>
      <c r="AE105" s="53">
        <f>T109</f>
        <v>964.48148148147448</v>
      </c>
      <c r="AF105" s="53">
        <f>AE105/AD105</f>
        <v>10.960016835016756</v>
      </c>
      <c r="AG105" s="53"/>
      <c r="AH105" s="53"/>
      <c r="AI105" s="53"/>
      <c r="AJ105" s="2"/>
      <c r="AK105" s="2"/>
      <c r="AM105" s="60" t="s">
        <v>15</v>
      </c>
      <c r="AN105" s="53">
        <v>14.916666666666666</v>
      </c>
      <c r="AO105" s="53" t="s">
        <v>93</v>
      </c>
      <c r="AP105" s="53">
        <f>AN105+AN102</f>
        <v>19.179023906459957</v>
      </c>
      <c r="AS105" s="3" t="s">
        <v>69</v>
      </c>
      <c r="AT105" s="2">
        <f>AT103*AT104</f>
        <v>4</v>
      </c>
      <c r="AU105" s="53">
        <f>AU102-AU103-AU104</f>
        <v>58.925925925927004</v>
      </c>
      <c r="AV105" s="53">
        <f t="shared" si="37"/>
        <v>14.731481481481751</v>
      </c>
      <c r="AW105" s="53">
        <f>AV105/AV106</f>
        <v>1.3441112092469911</v>
      </c>
      <c r="AX105" s="53">
        <f>FINV(AX100,AT105,AT106)</f>
        <v>2.4752774088696223</v>
      </c>
      <c r="AY105" s="53">
        <f>FINV(AY100,AT105,AT106)</f>
        <v>3.5400845421240663</v>
      </c>
      <c r="AZ105" s="2" t="str">
        <f>IF(AW105&gt;AY105,"**",IF(AW105&gt;AX105,"*","TN"))</f>
        <v>TN</v>
      </c>
      <c r="BA105" s="2" t="str">
        <f t="shared" si="38"/>
        <v>Tidak Nyata</v>
      </c>
    </row>
    <row r="106" spans="1:53" ht="16.5" customHeight="1" x14ac:dyDescent="0.3">
      <c r="A106" s="73"/>
      <c r="B106" s="75"/>
      <c r="C106" s="21" t="s">
        <v>13</v>
      </c>
      <c r="D106" s="1">
        <v>19</v>
      </c>
      <c r="E106" s="1">
        <v>19</v>
      </c>
      <c r="F106" s="1">
        <v>16</v>
      </c>
      <c r="G106" s="1">
        <v>16</v>
      </c>
      <c r="H106" s="1">
        <v>15</v>
      </c>
      <c r="I106" s="1">
        <v>16</v>
      </c>
      <c r="J106" s="1">
        <v>17</v>
      </c>
      <c r="K106" s="1">
        <v>17</v>
      </c>
      <c r="L106" s="1">
        <v>17</v>
      </c>
      <c r="M106" s="1">
        <v>17</v>
      </c>
      <c r="N106" s="1">
        <v>18</v>
      </c>
      <c r="O106" s="1">
        <v>15</v>
      </c>
      <c r="P106" s="22">
        <f t="shared" si="39"/>
        <v>202</v>
      </c>
      <c r="Q106" s="53">
        <f t="shared" si="40"/>
        <v>16.833333333333332</v>
      </c>
      <c r="S106" s="6" t="s">
        <v>50</v>
      </c>
      <c r="T106" s="51">
        <f>(SUMSQ(W104:Y104)/(12*3))-T103</f>
        <v>56.518518518518249</v>
      </c>
      <c r="AC106" s="3" t="s">
        <v>33</v>
      </c>
      <c r="AD106" s="2">
        <f>(3*3*12)-1</f>
        <v>107</v>
      </c>
      <c r="AE106" s="53">
        <f>T104</f>
        <v>1534.101851851854</v>
      </c>
      <c r="AF106" s="53"/>
      <c r="AG106" s="53"/>
      <c r="AH106" s="53"/>
      <c r="AI106" s="53"/>
      <c r="AJ106" s="2"/>
      <c r="AK106" s="2"/>
      <c r="AM106" s="60" t="s">
        <v>13</v>
      </c>
      <c r="AN106" s="53">
        <v>16.833333333333332</v>
      </c>
      <c r="AO106" s="53" t="s">
        <v>93</v>
      </c>
      <c r="AP106" s="53">
        <f>AN106+AN102</f>
        <v>21.095690573126621</v>
      </c>
      <c r="AS106" s="3" t="s">
        <v>70</v>
      </c>
      <c r="AT106" s="2">
        <f>AT107-AT101-AT102</f>
        <v>88</v>
      </c>
      <c r="AU106" s="53">
        <f>AU107-AU101-AU102</f>
        <v>964.48148148147448</v>
      </c>
      <c r="AV106" s="53">
        <f t="shared" si="37"/>
        <v>10.960016835016756</v>
      </c>
      <c r="AW106" s="53"/>
      <c r="AX106" s="53"/>
      <c r="AY106" s="53"/>
      <c r="AZ106" s="2"/>
      <c r="BA106" s="2"/>
    </row>
    <row r="107" spans="1:53" ht="15.5" x14ac:dyDescent="0.3">
      <c r="A107" s="73"/>
      <c r="B107" s="75"/>
      <c r="C107" s="21" t="s">
        <v>14</v>
      </c>
      <c r="D107" s="1">
        <v>15</v>
      </c>
      <c r="E107" s="1">
        <v>15</v>
      </c>
      <c r="F107" s="1">
        <v>21</v>
      </c>
      <c r="G107" s="1">
        <v>21</v>
      </c>
      <c r="H107" s="1">
        <v>16</v>
      </c>
      <c r="I107" s="1">
        <v>23</v>
      </c>
      <c r="J107" s="1">
        <v>17</v>
      </c>
      <c r="K107" s="1">
        <v>18</v>
      </c>
      <c r="L107" s="1">
        <v>14</v>
      </c>
      <c r="M107" s="1">
        <v>17</v>
      </c>
      <c r="N107" s="1">
        <v>19</v>
      </c>
      <c r="O107" s="1">
        <v>20</v>
      </c>
      <c r="P107" s="22">
        <f t="shared" si="39"/>
        <v>216</v>
      </c>
      <c r="Q107" s="53">
        <f t="shared" si="40"/>
        <v>18</v>
      </c>
      <c r="S107" s="6" t="s">
        <v>49</v>
      </c>
      <c r="T107" s="51">
        <f>(SUMSQ(Z101:Z103)/(12*3))-T103</f>
        <v>302.74074074074451</v>
      </c>
      <c r="AM107" s="60" t="s">
        <v>16</v>
      </c>
      <c r="AN107" s="53">
        <v>17.416666666666668</v>
      </c>
      <c r="AO107" s="53" t="s">
        <v>99</v>
      </c>
      <c r="AP107" s="53">
        <f>AN107+AN102</f>
        <v>21.679023906459957</v>
      </c>
      <c r="AS107" s="3" t="s">
        <v>33</v>
      </c>
      <c r="AT107" s="2">
        <f>(3*3*12)-1</f>
        <v>107</v>
      </c>
      <c r="AU107" s="53">
        <f>SUMSQ(D102:O110)-AT110</f>
        <v>1534.101851851854</v>
      </c>
      <c r="AV107" s="53"/>
      <c r="AW107" s="53"/>
      <c r="AX107" s="53"/>
      <c r="AY107" s="53"/>
      <c r="AZ107" s="2"/>
      <c r="BA107" s="2"/>
    </row>
    <row r="108" spans="1:53" ht="15.5" x14ac:dyDescent="0.3">
      <c r="A108" s="73"/>
      <c r="B108" s="75"/>
      <c r="C108" s="21" t="s">
        <v>15</v>
      </c>
      <c r="D108" s="1">
        <v>14</v>
      </c>
      <c r="E108" s="1">
        <v>20</v>
      </c>
      <c r="F108" s="1">
        <v>16</v>
      </c>
      <c r="G108" s="1">
        <v>14</v>
      </c>
      <c r="H108" s="1">
        <v>8</v>
      </c>
      <c r="I108" s="1">
        <v>13</v>
      </c>
      <c r="J108" s="1">
        <v>14</v>
      </c>
      <c r="K108" s="1">
        <v>17</v>
      </c>
      <c r="L108" s="1">
        <v>20</v>
      </c>
      <c r="M108" s="1">
        <v>11</v>
      </c>
      <c r="N108" s="1">
        <v>16</v>
      </c>
      <c r="O108" s="1">
        <v>16</v>
      </c>
      <c r="P108" s="22">
        <f t="shared" si="39"/>
        <v>179</v>
      </c>
      <c r="Q108" s="53">
        <f t="shared" si="40"/>
        <v>14.916666666666666</v>
      </c>
      <c r="S108" s="6" t="s">
        <v>51</v>
      </c>
      <c r="T108" s="51">
        <f>(SUMSQ(W101:Y103)/(12))-T103-T106-T107</f>
        <v>58.925925925927004</v>
      </c>
      <c r="AM108" s="60" t="s">
        <v>17</v>
      </c>
      <c r="AN108" s="53">
        <v>17.583333333333332</v>
      </c>
      <c r="AO108" s="53" t="s">
        <v>99</v>
      </c>
      <c r="AP108" s="53">
        <f>AN108+AN102</f>
        <v>21.845690573126621</v>
      </c>
    </row>
    <row r="109" spans="1:53" ht="15.5" x14ac:dyDescent="0.3">
      <c r="A109" s="73"/>
      <c r="B109" s="75"/>
      <c r="C109" s="21" t="s">
        <v>16</v>
      </c>
      <c r="D109" s="1">
        <v>20</v>
      </c>
      <c r="E109" s="1">
        <v>23</v>
      </c>
      <c r="F109" s="1">
        <v>21</v>
      </c>
      <c r="G109" s="1">
        <v>12</v>
      </c>
      <c r="H109" s="1">
        <v>8</v>
      </c>
      <c r="I109" s="1">
        <v>14</v>
      </c>
      <c r="J109" s="1">
        <v>23</v>
      </c>
      <c r="K109" s="1">
        <v>20</v>
      </c>
      <c r="L109" s="1">
        <v>22</v>
      </c>
      <c r="M109" s="1">
        <v>12</v>
      </c>
      <c r="N109" s="1">
        <v>23</v>
      </c>
      <c r="O109" s="1">
        <v>11</v>
      </c>
      <c r="P109" s="22">
        <f t="shared" si="39"/>
        <v>209</v>
      </c>
      <c r="Q109" s="53">
        <f t="shared" si="40"/>
        <v>17.416666666666668</v>
      </c>
      <c r="S109" s="6" t="s">
        <v>52</v>
      </c>
      <c r="T109" s="51">
        <f>T104-T105-T106-T107-T108</f>
        <v>964.48148148147448</v>
      </c>
      <c r="AM109" s="60" t="s">
        <v>14</v>
      </c>
      <c r="AN109" s="53">
        <v>18</v>
      </c>
      <c r="AO109" s="53" t="s">
        <v>99</v>
      </c>
      <c r="AP109" s="53">
        <f>AN109+AN102</f>
        <v>22.262357239793289</v>
      </c>
    </row>
    <row r="110" spans="1:53" ht="15.5" x14ac:dyDescent="0.3">
      <c r="A110" s="73"/>
      <c r="B110" s="75"/>
      <c r="C110" s="21" t="s">
        <v>17</v>
      </c>
      <c r="D110" s="1">
        <v>16</v>
      </c>
      <c r="E110" s="1">
        <v>19</v>
      </c>
      <c r="F110" s="1">
        <v>25</v>
      </c>
      <c r="G110" s="1">
        <v>20</v>
      </c>
      <c r="H110" s="1">
        <v>13</v>
      </c>
      <c r="I110" s="1">
        <v>18</v>
      </c>
      <c r="J110" s="1">
        <v>11</v>
      </c>
      <c r="K110" s="1">
        <v>17</v>
      </c>
      <c r="L110" s="1">
        <v>22</v>
      </c>
      <c r="M110" s="1">
        <v>21</v>
      </c>
      <c r="N110" s="1">
        <v>19</v>
      </c>
      <c r="O110" s="1">
        <v>10</v>
      </c>
      <c r="P110" s="22">
        <f t="shared" si="39"/>
        <v>211</v>
      </c>
      <c r="Q110" s="53">
        <f t="shared" si="40"/>
        <v>17.583333333333332</v>
      </c>
      <c r="AM110" s="60" t="s">
        <v>12</v>
      </c>
      <c r="AN110" s="53">
        <v>18.083333333333332</v>
      </c>
      <c r="AO110" s="53" t="s">
        <v>99</v>
      </c>
      <c r="AP110" s="53">
        <f>AN110+AN102</f>
        <v>22.345690573126621</v>
      </c>
      <c r="AS110" s="2" t="s">
        <v>46</v>
      </c>
      <c r="AT110" s="53">
        <f>P111^2/(3*3*12)</f>
        <v>36116.898148148146</v>
      </c>
    </row>
    <row r="111" spans="1:53" x14ac:dyDescent="0.3">
      <c r="A111" s="73"/>
      <c r="B111" s="75"/>
      <c r="C111" s="20" t="s">
        <v>33</v>
      </c>
      <c r="D111" s="23">
        <f>SUM(D102:D110)</f>
        <v>157</v>
      </c>
      <c r="E111" s="23">
        <f t="shared" ref="E111:O111" si="41">SUM(E102:E110)</f>
        <v>175</v>
      </c>
      <c r="F111" s="23">
        <f t="shared" si="41"/>
        <v>184</v>
      </c>
      <c r="G111" s="23">
        <f t="shared" si="41"/>
        <v>176</v>
      </c>
      <c r="H111" s="23">
        <f t="shared" si="41"/>
        <v>145</v>
      </c>
      <c r="I111" s="23">
        <f t="shared" si="41"/>
        <v>164</v>
      </c>
      <c r="J111" s="23">
        <f t="shared" si="41"/>
        <v>157</v>
      </c>
      <c r="K111" s="23">
        <f t="shared" si="41"/>
        <v>169</v>
      </c>
      <c r="L111" s="23">
        <f t="shared" si="41"/>
        <v>173</v>
      </c>
      <c r="M111" s="23">
        <f t="shared" si="41"/>
        <v>158</v>
      </c>
      <c r="N111" s="23">
        <f t="shared" si="41"/>
        <v>163</v>
      </c>
      <c r="O111" s="23">
        <f t="shared" si="41"/>
        <v>154</v>
      </c>
      <c r="P111" s="22">
        <f t="shared" si="39"/>
        <v>1975</v>
      </c>
      <c r="Q111" s="33"/>
      <c r="AM111" s="60" t="s">
        <v>9</v>
      </c>
      <c r="AN111" s="53">
        <v>18.916666666666668</v>
      </c>
      <c r="AO111" s="53" t="s">
        <v>99</v>
      </c>
      <c r="AP111" s="53">
        <f>AN111+AN102</f>
        <v>23.179023906459957</v>
      </c>
    </row>
    <row r="112" spans="1:53" x14ac:dyDescent="0.3">
      <c r="A112" s="66"/>
      <c r="B112" s="76"/>
      <c r="C112" s="20" t="s">
        <v>32</v>
      </c>
      <c r="D112" s="53">
        <f>AVERAGE(D102:D110)</f>
        <v>17.444444444444443</v>
      </c>
      <c r="E112" s="53">
        <f t="shared" ref="E112:O112" si="42">AVERAGE(E102:E110)</f>
        <v>19.444444444444443</v>
      </c>
      <c r="F112" s="53">
        <f t="shared" si="42"/>
        <v>20.444444444444443</v>
      </c>
      <c r="G112" s="53">
        <f t="shared" si="42"/>
        <v>19.555555555555557</v>
      </c>
      <c r="H112" s="53">
        <f t="shared" si="42"/>
        <v>16.111111111111111</v>
      </c>
      <c r="I112" s="53">
        <f t="shared" si="42"/>
        <v>18.222222222222221</v>
      </c>
      <c r="J112" s="53">
        <f t="shared" si="42"/>
        <v>17.444444444444443</v>
      </c>
      <c r="K112" s="53">
        <f t="shared" si="42"/>
        <v>18.777777777777779</v>
      </c>
      <c r="L112" s="53">
        <f t="shared" si="42"/>
        <v>19.222222222222221</v>
      </c>
      <c r="M112" s="53">
        <f t="shared" si="42"/>
        <v>17.555555555555557</v>
      </c>
      <c r="N112" s="53">
        <f t="shared" si="42"/>
        <v>18.111111111111111</v>
      </c>
      <c r="O112" s="53">
        <f t="shared" si="42"/>
        <v>17.111111111111111</v>
      </c>
      <c r="P112" s="33"/>
      <c r="Q112" s="33"/>
      <c r="AM112" s="60" t="s">
        <v>10</v>
      </c>
      <c r="AN112" s="53">
        <v>21.333333333333332</v>
      </c>
      <c r="AO112" s="53" t="s">
        <v>94</v>
      </c>
      <c r="AP112" s="53">
        <f>AN112+AN102</f>
        <v>25.595690573126621</v>
      </c>
    </row>
    <row r="113" spans="39:42" x14ac:dyDescent="0.3">
      <c r="AM113" s="60" t="s">
        <v>11</v>
      </c>
      <c r="AN113" s="53">
        <v>21.5</v>
      </c>
      <c r="AO113" s="53" t="s">
        <v>94</v>
      </c>
      <c r="AP113" s="53">
        <f>AN113+AN102</f>
        <v>25.762357239793289</v>
      </c>
    </row>
    <row r="123" spans="39:42" ht="15" customHeight="1" x14ac:dyDescent="0.3"/>
    <row r="140" ht="15" customHeight="1" x14ac:dyDescent="0.3"/>
  </sheetData>
  <sortState xmlns:xlrd2="http://schemas.microsoft.com/office/spreadsheetml/2017/richdata2" ref="AM73:AP81">
    <sortCondition ref="AN73:AN81"/>
  </sortState>
  <mergeCells count="210">
    <mergeCell ref="AS99:AS100"/>
    <mergeCell ref="AT99:AT100"/>
    <mergeCell ref="AU99:AU100"/>
    <mergeCell ref="AV99:AV100"/>
    <mergeCell ref="AW99:AW100"/>
    <mergeCell ref="AX99:AY99"/>
    <mergeCell ref="AZ99:AZ100"/>
    <mergeCell ref="BA99:BA100"/>
    <mergeCell ref="AS67:AS68"/>
    <mergeCell ref="AT67:AT68"/>
    <mergeCell ref="AU67:AU68"/>
    <mergeCell ref="AV67:AV68"/>
    <mergeCell ref="AW67:AW68"/>
    <mergeCell ref="AX67:AY67"/>
    <mergeCell ref="AZ67:AZ68"/>
    <mergeCell ref="BA67:BA68"/>
    <mergeCell ref="AS83:AS84"/>
    <mergeCell ref="AT83:AT84"/>
    <mergeCell ref="AU83:AU84"/>
    <mergeCell ref="AV83:AV84"/>
    <mergeCell ref="AW83:AW84"/>
    <mergeCell ref="AX83:AY83"/>
    <mergeCell ref="AZ83:AZ84"/>
    <mergeCell ref="BA83:BA84"/>
    <mergeCell ref="AS35:AS36"/>
    <mergeCell ref="AT35:AT36"/>
    <mergeCell ref="AU35:AU36"/>
    <mergeCell ref="AV35:AV36"/>
    <mergeCell ref="AW35:AW36"/>
    <mergeCell ref="AX35:AY35"/>
    <mergeCell ref="AZ35:AZ36"/>
    <mergeCell ref="BA35:BA36"/>
    <mergeCell ref="AS51:AS52"/>
    <mergeCell ref="AT51:AT52"/>
    <mergeCell ref="AU51:AU52"/>
    <mergeCell ref="AV51:AV52"/>
    <mergeCell ref="AW51:AW52"/>
    <mergeCell ref="AX51:AY51"/>
    <mergeCell ref="AZ51:AZ52"/>
    <mergeCell ref="BA51:BA52"/>
    <mergeCell ref="AS3:AS4"/>
    <mergeCell ref="AT3:AT4"/>
    <mergeCell ref="AU3:AU4"/>
    <mergeCell ref="AV3:AV4"/>
    <mergeCell ref="AW3:AW4"/>
    <mergeCell ref="AX3:AY3"/>
    <mergeCell ref="AZ3:AZ4"/>
    <mergeCell ref="BA3:BA4"/>
    <mergeCell ref="AS19:AS20"/>
    <mergeCell ref="AT19:AT20"/>
    <mergeCell ref="AU19:AU20"/>
    <mergeCell ref="AV19:AV20"/>
    <mergeCell ref="AW19:AW20"/>
    <mergeCell ref="AX19:AY19"/>
    <mergeCell ref="AZ19:AZ20"/>
    <mergeCell ref="BA19:BA20"/>
    <mergeCell ref="A4:A16"/>
    <mergeCell ref="B4:B16"/>
    <mergeCell ref="C19:C21"/>
    <mergeCell ref="D19:O19"/>
    <mergeCell ref="P19:P21"/>
    <mergeCell ref="A20:A32"/>
    <mergeCell ref="B20:B32"/>
    <mergeCell ref="Q19:Q21"/>
    <mergeCell ref="D20:G20"/>
    <mergeCell ref="H20:K20"/>
    <mergeCell ref="L20:O20"/>
    <mergeCell ref="C3:C5"/>
    <mergeCell ref="D3:O3"/>
    <mergeCell ref="Q3:Q5"/>
    <mergeCell ref="D4:G4"/>
    <mergeCell ref="H4:K4"/>
    <mergeCell ref="L4:O4"/>
    <mergeCell ref="P3:P5"/>
    <mergeCell ref="Q35:Q37"/>
    <mergeCell ref="A36:A48"/>
    <mergeCell ref="B36:B48"/>
    <mergeCell ref="D36:G36"/>
    <mergeCell ref="H36:K36"/>
    <mergeCell ref="L36:O36"/>
    <mergeCell ref="Q99:Q101"/>
    <mergeCell ref="D100:G100"/>
    <mergeCell ref="C51:C53"/>
    <mergeCell ref="D51:O51"/>
    <mergeCell ref="P51:P53"/>
    <mergeCell ref="Q51:Q53"/>
    <mergeCell ref="Q83:Q85"/>
    <mergeCell ref="C67:C69"/>
    <mergeCell ref="D67:O67"/>
    <mergeCell ref="P67:P69"/>
    <mergeCell ref="Q67:Q69"/>
    <mergeCell ref="P83:P85"/>
    <mergeCell ref="P99:P101"/>
    <mergeCell ref="C35:C37"/>
    <mergeCell ref="D35:O35"/>
    <mergeCell ref="P35:P37"/>
    <mergeCell ref="A52:A64"/>
    <mergeCell ref="B52:B64"/>
    <mergeCell ref="D52:G52"/>
    <mergeCell ref="H52:K52"/>
    <mergeCell ref="L52:O52"/>
    <mergeCell ref="D68:G68"/>
    <mergeCell ref="H68:K68"/>
    <mergeCell ref="L68:O68"/>
    <mergeCell ref="A100:A112"/>
    <mergeCell ref="B100:B112"/>
    <mergeCell ref="H100:K100"/>
    <mergeCell ref="L100:O100"/>
    <mergeCell ref="C83:C85"/>
    <mergeCell ref="D83:O83"/>
    <mergeCell ref="C99:C101"/>
    <mergeCell ref="D99:O99"/>
    <mergeCell ref="A68:A80"/>
    <mergeCell ref="B68:B80"/>
    <mergeCell ref="A84:A96"/>
    <mergeCell ref="B84:B96"/>
    <mergeCell ref="D84:G84"/>
    <mergeCell ref="H84:K84"/>
    <mergeCell ref="L84:O84"/>
    <mergeCell ref="AD3:AD4"/>
    <mergeCell ref="AE3:AE4"/>
    <mergeCell ref="AF3:AF4"/>
    <mergeCell ref="AH3:AI3"/>
    <mergeCell ref="AC3:AC4"/>
    <mergeCell ref="AG3:AG4"/>
    <mergeCell ref="AJ3:AJ4"/>
    <mergeCell ref="V3:V4"/>
    <mergeCell ref="W3:Y3"/>
    <mergeCell ref="Z3:Z4"/>
    <mergeCell ref="AA3:AA4"/>
    <mergeCell ref="V19:V20"/>
    <mergeCell ref="W19:Y19"/>
    <mergeCell ref="Z19:Z20"/>
    <mergeCell ref="AA19:AA20"/>
    <mergeCell ref="AD19:AD20"/>
    <mergeCell ref="AE19:AE20"/>
    <mergeCell ref="AF19:AF20"/>
    <mergeCell ref="AG19:AG20"/>
    <mergeCell ref="AH19:AI19"/>
    <mergeCell ref="V99:V100"/>
    <mergeCell ref="W99:Y99"/>
    <mergeCell ref="Z99:Z100"/>
    <mergeCell ref="AA99:AA100"/>
    <mergeCell ref="AC19:AC20"/>
    <mergeCell ref="AC35:AC36"/>
    <mergeCell ref="AC67:AC68"/>
    <mergeCell ref="AC99:AC100"/>
    <mergeCell ref="V67:V68"/>
    <mergeCell ref="W67:Y67"/>
    <mergeCell ref="Z67:Z68"/>
    <mergeCell ref="AA67:AA68"/>
    <mergeCell ref="V83:V84"/>
    <mergeCell ref="W83:Y83"/>
    <mergeCell ref="Z83:Z84"/>
    <mergeCell ref="AA83:AA84"/>
    <mergeCell ref="V35:V36"/>
    <mergeCell ref="W35:Y35"/>
    <mergeCell ref="Z35:Z36"/>
    <mergeCell ref="AA35:AA36"/>
    <mergeCell ref="V51:V52"/>
    <mergeCell ref="W51:Y51"/>
    <mergeCell ref="Z51:Z52"/>
    <mergeCell ref="AA51:AA52"/>
    <mergeCell ref="AC51:AC52"/>
    <mergeCell ref="AD51:AD52"/>
    <mergeCell ref="AE51:AE52"/>
    <mergeCell ref="AF51:AF52"/>
    <mergeCell ref="AG51:AG52"/>
    <mergeCell ref="AH51:AI51"/>
    <mergeCell ref="AJ51:AJ52"/>
    <mergeCell ref="AK51:AK52"/>
    <mergeCell ref="AD35:AD36"/>
    <mergeCell ref="AE35:AE36"/>
    <mergeCell ref="AF35:AF36"/>
    <mergeCell ref="AG35:AG36"/>
    <mergeCell ref="AH35:AI35"/>
    <mergeCell ref="AD99:AD100"/>
    <mergeCell ref="AE99:AE100"/>
    <mergeCell ref="AF99:AF100"/>
    <mergeCell ref="AG99:AG100"/>
    <mergeCell ref="AH99:AI99"/>
    <mergeCell ref="AJ67:AJ68"/>
    <mergeCell ref="AK67:AK68"/>
    <mergeCell ref="AC83:AC84"/>
    <mergeCell ref="AD83:AD84"/>
    <mergeCell ref="AE83:AE84"/>
    <mergeCell ref="AF83:AF84"/>
    <mergeCell ref="AG83:AG84"/>
    <mergeCell ref="AH83:AI83"/>
    <mergeCell ref="AJ83:AJ84"/>
    <mergeCell ref="AK83:AK84"/>
    <mergeCell ref="AD67:AD68"/>
    <mergeCell ref="AE67:AE68"/>
    <mergeCell ref="AF67:AF68"/>
    <mergeCell ref="AG67:AG68"/>
    <mergeCell ref="AH67:AI67"/>
    <mergeCell ref="AM3:AN3"/>
    <mergeCell ref="AM19:AN19"/>
    <mergeCell ref="AM35:AN35"/>
    <mergeCell ref="AM51:AN51"/>
    <mergeCell ref="AM67:AN67"/>
    <mergeCell ref="AM83:AN83"/>
    <mergeCell ref="AM99:AN99"/>
    <mergeCell ref="AJ99:AJ100"/>
    <mergeCell ref="AK99:AK100"/>
    <mergeCell ref="AJ35:AJ36"/>
    <mergeCell ref="AK35:AK36"/>
    <mergeCell ref="AK3:AK4"/>
    <mergeCell ref="AJ19:AJ20"/>
    <mergeCell ref="AK19:AK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2AAD-AD48-4003-8A1C-F741E601EBCC}">
  <dimension ref="A1:BA112"/>
  <sheetViews>
    <sheetView tabSelected="1" topLeftCell="AK123" zoomScale="138" zoomScaleNormal="56" workbookViewId="0">
      <selection activeCell="AO113" sqref="AO113"/>
    </sheetView>
  </sheetViews>
  <sheetFormatPr defaultRowHeight="14" x14ac:dyDescent="0.3"/>
  <cols>
    <col min="1" max="1" width="8.7265625" style="6"/>
    <col min="2" max="2" width="26.81640625" style="6" customWidth="1"/>
    <col min="3" max="3" width="12.7265625" style="6" customWidth="1"/>
    <col min="4" max="28" width="8.7265625" style="6"/>
    <col min="29" max="29" width="12.08984375" style="6" customWidth="1"/>
    <col min="30" max="36" width="8.7265625" style="6"/>
    <col min="37" max="37" width="20.90625" style="6" customWidth="1"/>
    <col min="38" max="38" width="8.7265625" style="6"/>
    <col min="39" max="39" width="10.1796875" style="6" customWidth="1"/>
    <col min="40" max="40" width="10" style="6" customWidth="1"/>
    <col min="41" max="41" width="9.90625" style="6" customWidth="1"/>
    <col min="42" max="42" width="13.36328125" style="6" customWidth="1"/>
    <col min="43" max="46" width="8.7265625" style="6"/>
    <col min="47" max="47" width="9.36328125" style="6" bestFit="1" customWidth="1"/>
    <col min="48" max="52" width="8.7265625" style="6"/>
    <col min="53" max="53" width="12.36328125" style="6" customWidth="1"/>
    <col min="54" max="16384" width="8.7265625" style="6"/>
  </cols>
  <sheetData>
    <row r="1" spans="1:53" x14ac:dyDescent="0.3">
      <c r="AS1" s="6" t="s">
        <v>97</v>
      </c>
    </row>
    <row r="2" spans="1:53" x14ac:dyDescent="0.3">
      <c r="A2" s="3" t="s">
        <v>18</v>
      </c>
      <c r="B2" s="3" t="s">
        <v>20</v>
      </c>
      <c r="C2" s="87" t="s">
        <v>0</v>
      </c>
      <c r="D2" s="69" t="s">
        <v>1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5" t="s">
        <v>33</v>
      </c>
      <c r="Q2" s="65" t="s">
        <v>32</v>
      </c>
      <c r="V2" s="65" t="s">
        <v>53</v>
      </c>
      <c r="W2" s="70" t="s">
        <v>54</v>
      </c>
      <c r="X2" s="71"/>
      <c r="Y2" s="72"/>
      <c r="Z2" s="65" t="s">
        <v>33</v>
      </c>
      <c r="AA2" s="65" t="s">
        <v>32</v>
      </c>
      <c r="AC2" s="65" t="s">
        <v>61</v>
      </c>
      <c r="AD2" s="65" t="s">
        <v>62</v>
      </c>
      <c r="AE2" s="65" t="s">
        <v>63</v>
      </c>
      <c r="AF2" s="65" t="s">
        <v>64</v>
      </c>
      <c r="AG2" s="65" t="s">
        <v>65</v>
      </c>
      <c r="AH2" s="69" t="s">
        <v>66</v>
      </c>
      <c r="AI2" s="69"/>
      <c r="AJ2" s="65" t="s">
        <v>67</v>
      </c>
      <c r="AK2" s="65" t="s">
        <v>68</v>
      </c>
      <c r="AM2" s="78" t="s">
        <v>80</v>
      </c>
      <c r="AN2" s="78"/>
      <c r="AS2" s="65" t="s">
        <v>61</v>
      </c>
      <c r="AT2" s="65" t="s">
        <v>62</v>
      </c>
      <c r="AU2" s="65" t="s">
        <v>63</v>
      </c>
      <c r="AV2" s="65" t="s">
        <v>64</v>
      </c>
      <c r="AW2" s="65" t="s">
        <v>65</v>
      </c>
      <c r="AX2" s="69" t="s">
        <v>66</v>
      </c>
      <c r="AY2" s="69"/>
      <c r="AZ2" s="65" t="s">
        <v>67</v>
      </c>
      <c r="BA2" s="65" t="s">
        <v>68</v>
      </c>
    </row>
    <row r="3" spans="1:53" x14ac:dyDescent="0.3">
      <c r="A3" s="65">
        <v>1</v>
      </c>
      <c r="B3" s="74" t="s">
        <v>36</v>
      </c>
      <c r="C3" s="87"/>
      <c r="D3" s="69" t="s">
        <v>2</v>
      </c>
      <c r="E3" s="69"/>
      <c r="F3" s="69"/>
      <c r="G3" s="69"/>
      <c r="H3" s="69" t="s">
        <v>7</v>
      </c>
      <c r="I3" s="69"/>
      <c r="J3" s="69"/>
      <c r="K3" s="69"/>
      <c r="L3" s="69" t="s">
        <v>8</v>
      </c>
      <c r="M3" s="69"/>
      <c r="N3" s="69"/>
      <c r="O3" s="69"/>
      <c r="P3" s="73"/>
      <c r="Q3" s="73"/>
      <c r="S3" s="6" t="s">
        <v>71</v>
      </c>
      <c r="T3" s="6">
        <v>12</v>
      </c>
      <c r="V3" s="66"/>
      <c r="W3" s="3" t="s">
        <v>55</v>
      </c>
      <c r="X3" s="3" t="s">
        <v>56</v>
      </c>
      <c r="Y3" s="3" t="s">
        <v>57</v>
      </c>
      <c r="Z3" s="66"/>
      <c r="AA3" s="66"/>
      <c r="AC3" s="66"/>
      <c r="AD3" s="66"/>
      <c r="AE3" s="66"/>
      <c r="AF3" s="66"/>
      <c r="AG3" s="66"/>
      <c r="AH3" s="42">
        <v>0.05</v>
      </c>
      <c r="AI3" s="42">
        <v>0.01</v>
      </c>
      <c r="AJ3" s="66"/>
      <c r="AK3" s="66"/>
      <c r="AM3" s="54" t="s">
        <v>74</v>
      </c>
      <c r="AN3" s="54">
        <f>SQRT(AF8/12)</f>
        <v>0.36974905798532137</v>
      </c>
      <c r="AO3" s="56"/>
      <c r="AP3" s="55" t="s">
        <v>91</v>
      </c>
      <c r="AS3" s="66"/>
      <c r="AT3" s="66"/>
      <c r="AU3" s="66"/>
      <c r="AV3" s="66"/>
      <c r="AW3" s="66"/>
      <c r="AX3" s="42">
        <v>0.05</v>
      </c>
      <c r="AY3" s="42">
        <v>0.01</v>
      </c>
      <c r="AZ3" s="66"/>
      <c r="BA3" s="66"/>
    </row>
    <row r="4" spans="1:53" x14ac:dyDescent="0.3">
      <c r="A4" s="73"/>
      <c r="B4" s="75"/>
      <c r="C4" s="87"/>
      <c r="D4" s="18" t="s">
        <v>3</v>
      </c>
      <c r="E4" s="18" t="s">
        <v>4</v>
      </c>
      <c r="F4" s="18" t="s">
        <v>5</v>
      </c>
      <c r="G4" s="18" t="s">
        <v>6</v>
      </c>
      <c r="H4" s="18" t="s">
        <v>3</v>
      </c>
      <c r="I4" s="18" t="s">
        <v>4</v>
      </c>
      <c r="J4" s="18" t="s">
        <v>5</v>
      </c>
      <c r="K4" s="18" t="s">
        <v>6</v>
      </c>
      <c r="L4" s="18" t="s">
        <v>3</v>
      </c>
      <c r="M4" s="18" t="s">
        <v>4</v>
      </c>
      <c r="N4" s="18" t="s">
        <v>5</v>
      </c>
      <c r="O4" s="18" t="s">
        <v>6</v>
      </c>
      <c r="P4" s="66"/>
      <c r="Q4" s="66"/>
      <c r="S4" s="6" t="s">
        <v>44</v>
      </c>
      <c r="T4" s="6">
        <v>3</v>
      </c>
      <c r="V4" s="3" t="s">
        <v>58</v>
      </c>
      <c r="W4" s="2">
        <f>SUM(D5:O5)</f>
        <v>6</v>
      </c>
      <c r="X4" s="2">
        <f>SUM(D6:O6)</f>
        <v>41</v>
      </c>
      <c r="Y4" s="2">
        <f>SUM(D7:O7)</f>
        <v>31</v>
      </c>
      <c r="Z4" s="2">
        <f>SUM(W4:Y4)</f>
        <v>78</v>
      </c>
      <c r="AA4" s="53">
        <f>AVERAGE(W4:Y4)</f>
        <v>26</v>
      </c>
      <c r="AC4" s="3" t="s">
        <v>43</v>
      </c>
      <c r="AD4" s="2">
        <f>12-1</f>
        <v>11</v>
      </c>
      <c r="AE4" s="53">
        <f>T8</f>
        <v>8.6296296296296191</v>
      </c>
      <c r="AF4" s="53">
        <f>AE4/AD4</f>
        <v>0.78451178451178361</v>
      </c>
      <c r="AG4" s="53">
        <f>AF4/AF8</f>
        <v>0.47819394561313433</v>
      </c>
      <c r="AH4" s="53">
        <f>FINV(AH3,AD4,AD8)</f>
        <v>1.8991710184693407</v>
      </c>
      <c r="AI4" s="53">
        <f>FINV(AI3,AD4,AD8)</f>
        <v>2.4560580535880434</v>
      </c>
      <c r="AJ4" s="30" t="s">
        <v>95</v>
      </c>
      <c r="AK4" s="2"/>
      <c r="AM4" s="53" t="s">
        <v>75</v>
      </c>
      <c r="AN4" s="54">
        <v>4.46</v>
      </c>
      <c r="AO4" s="51"/>
      <c r="AP4" s="51"/>
      <c r="AS4" s="3" t="s">
        <v>43</v>
      </c>
      <c r="AT4" s="2">
        <f>12-1</f>
        <v>11</v>
      </c>
      <c r="AU4" s="6">
        <f>SUMSQ(D14:O14)/(3*3)-AT13</f>
        <v>8.6296296296296191</v>
      </c>
      <c r="AV4" s="53">
        <f>AU4/AT4</f>
        <v>0.78451178451178361</v>
      </c>
      <c r="AW4" s="53">
        <f>AV4/AV9</f>
        <v>0.47819394561313433</v>
      </c>
      <c r="AX4" s="53">
        <f>FINV(AX3,AT4,AT9)</f>
        <v>1.8991710184693407</v>
      </c>
      <c r="AY4" s="53">
        <f>FINV(AY3,AT4,AT9)</f>
        <v>2.4560580535880434</v>
      </c>
      <c r="AZ4" s="2" t="str">
        <f>IF(AW4&gt;AY4,"**",IF(AW4&gt;AX4,"*","TN"))</f>
        <v>TN</v>
      </c>
      <c r="BA4" s="2" t="str">
        <f>IF(AZ4="TN","Tidak Nyata",IF(AZ4="*","Nyata",IF(AZ4="**","Sangat Nyata",0)))</f>
        <v>Tidak Nyata</v>
      </c>
    </row>
    <row r="5" spans="1:53" ht="15.5" x14ac:dyDescent="0.3">
      <c r="A5" s="73"/>
      <c r="B5" s="75"/>
      <c r="C5" s="21" t="s">
        <v>9</v>
      </c>
      <c r="D5" s="26">
        <v>2</v>
      </c>
      <c r="E5" s="26">
        <v>0</v>
      </c>
      <c r="F5" s="26">
        <v>0</v>
      </c>
      <c r="G5" s="26">
        <v>2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2</v>
      </c>
      <c r="N5" s="26">
        <v>0</v>
      </c>
      <c r="O5" s="26">
        <v>0</v>
      </c>
      <c r="P5" s="22">
        <f>SUM(D5:O5)</f>
        <v>6</v>
      </c>
      <c r="Q5" s="53">
        <f>AVERAGE(D5:O5)</f>
        <v>0.5</v>
      </c>
      <c r="S5" s="6" t="s">
        <v>45</v>
      </c>
      <c r="T5" s="6">
        <v>3</v>
      </c>
      <c r="V5" s="3" t="s">
        <v>59</v>
      </c>
      <c r="W5" s="2">
        <f>SUM(D8:O8)</f>
        <v>5</v>
      </c>
      <c r="X5" s="2">
        <f>SUM(D9:O9)</f>
        <v>32</v>
      </c>
      <c r="Y5" s="2">
        <f>SUM(D10:O10)</f>
        <v>33</v>
      </c>
      <c r="Z5" s="2">
        <f>SUM(W5:Y5)</f>
        <v>70</v>
      </c>
      <c r="AA5" s="53">
        <f>AVERAGE(W5:Y5)</f>
        <v>23.333333333333332</v>
      </c>
      <c r="AC5" s="3" t="s">
        <v>45</v>
      </c>
      <c r="AD5" s="2">
        <f>3-1</f>
        <v>2</v>
      </c>
      <c r="AE5" s="53">
        <f>T9</f>
        <v>56.685185185185162</v>
      </c>
      <c r="AF5" s="53">
        <f>AE5/AD5</f>
        <v>28.342592592592581</v>
      </c>
      <c r="AG5" s="53">
        <f>AF5/AF8</f>
        <v>17.276038994356071</v>
      </c>
      <c r="AH5" s="53">
        <f>FINV(AH3,AD5,AD8)</f>
        <v>3.1000686386371408</v>
      </c>
      <c r="AI5" s="53">
        <f>FINV(AI3,AD5,AD8)</f>
        <v>4.8547979993760721</v>
      </c>
      <c r="AJ5" s="30" t="s">
        <v>72</v>
      </c>
      <c r="AK5" s="2"/>
      <c r="AM5" s="53" t="s">
        <v>76</v>
      </c>
      <c r="AN5" s="54">
        <f>AN4*AN3</f>
        <v>1.6490807986145333</v>
      </c>
      <c r="AO5" s="51"/>
      <c r="AP5" s="51"/>
      <c r="AS5" s="3" t="s">
        <v>98</v>
      </c>
      <c r="AT5" s="2">
        <f>3*3-1</f>
        <v>8</v>
      </c>
      <c r="AU5" s="53">
        <f>SUMSQ(P5:P13)/12-AT13</f>
        <v>98.074074074074076</v>
      </c>
      <c r="AV5" s="53">
        <f t="shared" ref="AV5:AV9" si="0">AU5/AT5</f>
        <v>12.25925925925926</v>
      </c>
      <c r="AW5" s="53">
        <f>AV5/AV9</f>
        <v>7.472550025654181</v>
      </c>
      <c r="AX5" s="53">
        <f>FINV(AX3,AT5,AT9)</f>
        <v>2.0454143150341193</v>
      </c>
      <c r="AY5" s="53">
        <f>FINV(AY3,AT5,AT9)</f>
        <v>2.720181875728696</v>
      </c>
      <c r="AZ5" s="2" t="str">
        <f>IF(AW5&gt;AY5,"**",IF(AW5&gt;AX5,"*","TN"))</f>
        <v>**</v>
      </c>
      <c r="BA5" s="2" t="str">
        <f t="shared" ref="BA5:BA8" si="1">IF(AZ5="TN","Tidak Nyata",IF(AZ5="*","Nyata",IF(AZ5="**","Sangat Nyata",0)))</f>
        <v>Sangat Nyata</v>
      </c>
    </row>
    <row r="6" spans="1:53" ht="15.5" x14ac:dyDescent="0.3">
      <c r="A6" s="73"/>
      <c r="B6" s="75"/>
      <c r="C6" s="21" t="s">
        <v>10</v>
      </c>
      <c r="D6" s="26">
        <v>3</v>
      </c>
      <c r="E6" s="26">
        <v>4</v>
      </c>
      <c r="F6" s="26">
        <v>4</v>
      </c>
      <c r="G6" s="26">
        <v>5</v>
      </c>
      <c r="H6" s="26">
        <v>3</v>
      </c>
      <c r="I6" s="26">
        <v>3</v>
      </c>
      <c r="J6" s="26">
        <v>3</v>
      </c>
      <c r="K6" s="26">
        <v>4</v>
      </c>
      <c r="L6" s="26">
        <v>4</v>
      </c>
      <c r="M6" s="26">
        <v>2</v>
      </c>
      <c r="N6" s="26">
        <v>3</v>
      </c>
      <c r="O6" s="26">
        <v>3</v>
      </c>
      <c r="P6" s="22">
        <f t="shared" ref="P6:P14" si="2">SUM(D6:O6)</f>
        <v>41</v>
      </c>
      <c r="Q6" s="53">
        <f t="shared" ref="Q6:Q13" si="3">AVERAGE(D6:O6)</f>
        <v>3.4166666666666665</v>
      </c>
      <c r="S6" s="6" t="s">
        <v>46</v>
      </c>
      <c r="T6" s="51">
        <f>(P14^2)/(12*3*3)</f>
        <v>472.92592592592592</v>
      </c>
      <c r="V6" s="3" t="s">
        <v>60</v>
      </c>
      <c r="W6" s="2">
        <f>SUM(D11:O11)</f>
        <v>28</v>
      </c>
      <c r="X6" s="2">
        <f>SUM(D12:O12)</f>
        <v>26</v>
      </c>
      <c r="Y6" s="2">
        <f>SUM(D13:O13)</f>
        <v>24</v>
      </c>
      <c r="Z6" s="2">
        <f>SUM(W6:Y6)</f>
        <v>78</v>
      </c>
      <c r="AA6" s="53">
        <f>AVERAGE(W6:Y6)</f>
        <v>26</v>
      </c>
      <c r="AC6" s="3" t="s">
        <v>44</v>
      </c>
      <c r="AD6" s="2">
        <f>3-1</f>
        <v>2</v>
      </c>
      <c r="AE6" s="53">
        <f>T10</f>
        <v>1.185185185185162</v>
      </c>
      <c r="AF6" s="53">
        <f>AE6/AD6</f>
        <v>0.59259259259258101</v>
      </c>
      <c r="AG6" s="53">
        <f>AF6/AF8</f>
        <v>0.36121087737300467</v>
      </c>
      <c r="AH6" s="53">
        <f>FINV(AH3,AD6,AD8)</f>
        <v>3.1000686386371408</v>
      </c>
      <c r="AI6" s="53">
        <f>FINV(AI3,AD6,AD8)</f>
        <v>4.8547979993760721</v>
      </c>
      <c r="AJ6" s="30" t="s">
        <v>95</v>
      </c>
      <c r="AK6" s="2"/>
      <c r="AM6" s="51"/>
      <c r="AN6" s="51"/>
      <c r="AO6" s="51"/>
      <c r="AP6" s="51"/>
      <c r="AS6" s="3" t="s">
        <v>45</v>
      </c>
      <c r="AT6" s="2">
        <f>3-1</f>
        <v>2</v>
      </c>
      <c r="AU6" s="53">
        <f>SUMSQ(W7:Y7)/(3*12)-AT13</f>
        <v>56.685185185185162</v>
      </c>
      <c r="AV6" s="53">
        <f t="shared" si="0"/>
        <v>28.342592592592581</v>
      </c>
      <c r="AW6" s="53">
        <f>AV6/AV9</f>
        <v>17.276038994356071</v>
      </c>
      <c r="AX6" s="53">
        <f>FINV(AX3,AT6,AT9)</f>
        <v>3.1000686386371408</v>
      </c>
      <c r="AY6" s="53">
        <f>FINV(AY3,AT6,AT9)</f>
        <v>4.8547979993760721</v>
      </c>
      <c r="AZ6" s="2" t="str">
        <f>IF(AW6&gt;AY6,"**",IF(AW6&gt;AX6,"*","TN"))</f>
        <v>**</v>
      </c>
      <c r="BA6" s="2" t="str">
        <f t="shared" si="1"/>
        <v>Sangat Nyata</v>
      </c>
    </row>
    <row r="7" spans="1:53" ht="15.5" x14ac:dyDescent="0.3">
      <c r="A7" s="73"/>
      <c r="B7" s="75"/>
      <c r="C7" s="21" t="s">
        <v>11</v>
      </c>
      <c r="D7" s="26">
        <v>2</v>
      </c>
      <c r="E7" s="26">
        <v>4</v>
      </c>
      <c r="F7" s="26">
        <v>4</v>
      </c>
      <c r="G7" s="26">
        <v>2</v>
      </c>
      <c r="H7" s="26">
        <v>3</v>
      </c>
      <c r="I7" s="26">
        <v>3</v>
      </c>
      <c r="J7" s="26">
        <v>3</v>
      </c>
      <c r="K7" s="26">
        <v>2</v>
      </c>
      <c r="L7" s="26">
        <v>2</v>
      </c>
      <c r="M7" s="26">
        <v>3</v>
      </c>
      <c r="N7" s="26">
        <v>2</v>
      </c>
      <c r="O7" s="26">
        <v>1</v>
      </c>
      <c r="P7" s="22">
        <f t="shared" si="2"/>
        <v>31</v>
      </c>
      <c r="Q7" s="53">
        <f t="shared" si="3"/>
        <v>2.5833333333333335</v>
      </c>
      <c r="S7" s="6" t="s">
        <v>47</v>
      </c>
      <c r="T7" s="51">
        <f>SUMSQ(D5:O13)-T6</f>
        <v>251.07407407407408</v>
      </c>
      <c r="V7" s="3" t="s">
        <v>33</v>
      </c>
      <c r="W7" s="2">
        <f>SUM(W4:W6)</f>
        <v>39</v>
      </c>
      <c r="X7" s="2">
        <f>SUM(X4:X6)</f>
        <v>99</v>
      </c>
      <c r="Y7" s="2">
        <f>SUM(Y4:Y6)</f>
        <v>88</v>
      </c>
      <c r="Z7" s="2">
        <f>SUM(W7:Y7)</f>
        <v>226</v>
      </c>
      <c r="AA7" s="53">
        <f>AVERAGE(W7:Y7)</f>
        <v>75.333333333333329</v>
      </c>
      <c r="AC7" s="3" t="s">
        <v>69</v>
      </c>
      <c r="AD7" s="2">
        <f>(3-1)*(3-1)</f>
        <v>4</v>
      </c>
      <c r="AE7" s="53">
        <f>T11</f>
        <v>40.203703703703752</v>
      </c>
      <c r="AF7" s="53">
        <f>AE7/AD7</f>
        <v>10.050925925925938</v>
      </c>
      <c r="AG7" s="53">
        <f>AF7/AF8</f>
        <v>6.1264751154438235</v>
      </c>
      <c r="AH7" s="53">
        <f>FINV(AH3,AD7,AD8)</f>
        <v>2.4752774088696223</v>
      </c>
      <c r="AI7" s="53">
        <f>FINV(AI3,AD7,AD8)</f>
        <v>3.5400845421240663</v>
      </c>
      <c r="AJ7" s="30" t="s">
        <v>72</v>
      </c>
      <c r="AK7" s="2"/>
      <c r="AM7" s="54" t="s">
        <v>0</v>
      </c>
      <c r="AN7" s="54" t="s">
        <v>32</v>
      </c>
      <c r="AO7" s="54" t="s">
        <v>67</v>
      </c>
      <c r="AP7" s="54" t="s">
        <v>77</v>
      </c>
      <c r="AS7" s="3" t="s">
        <v>44</v>
      </c>
      <c r="AT7" s="2">
        <f>3-1</f>
        <v>2</v>
      </c>
      <c r="AU7" s="53">
        <f>SUMSQ(Z4:Z6)/(3*12)-AT13</f>
        <v>1.185185185185162</v>
      </c>
      <c r="AV7" s="53">
        <f t="shared" si="0"/>
        <v>0.59259259259258101</v>
      </c>
      <c r="AW7" s="53">
        <f>AV7/AV9</f>
        <v>0.36121087737300467</v>
      </c>
      <c r="AX7" s="53">
        <f>FINV(AX3,AT7,AT9)</f>
        <v>3.1000686386371408</v>
      </c>
      <c r="AY7" s="53">
        <f>FINV(AY3,AT7,AT9)</f>
        <v>4.8547979993760721</v>
      </c>
      <c r="AZ7" s="2" t="str">
        <f>IF(AW7&gt;AY7,"**",IF(AW7&gt;AX7,"*","TN"))</f>
        <v>TN</v>
      </c>
      <c r="BA7" s="2" t="str">
        <f t="shared" si="1"/>
        <v>Tidak Nyata</v>
      </c>
    </row>
    <row r="8" spans="1:53" ht="15.5" x14ac:dyDescent="0.3">
      <c r="A8" s="73"/>
      <c r="B8" s="75"/>
      <c r="C8" s="21" t="s">
        <v>12</v>
      </c>
      <c r="D8" s="27">
        <v>1</v>
      </c>
      <c r="E8" s="27">
        <v>0</v>
      </c>
      <c r="F8" s="27">
        <v>0</v>
      </c>
      <c r="G8" s="27">
        <v>0</v>
      </c>
      <c r="H8" s="27">
        <v>1</v>
      </c>
      <c r="I8" s="27">
        <v>1</v>
      </c>
      <c r="J8" s="27">
        <v>1</v>
      </c>
      <c r="K8" s="27">
        <v>0</v>
      </c>
      <c r="L8" s="27">
        <v>0</v>
      </c>
      <c r="M8" s="27">
        <v>0</v>
      </c>
      <c r="N8" s="27">
        <v>0</v>
      </c>
      <c r="O8" s="27">
        <v>1</v>
      </c>
      <c r="P8" s="22">
        <f t="shared" si="2"/>
        <v>5</v>
      </c>
      <c r="Q8" s="53">
        <f t="shared" si="3"/>
        <v>0.41666666666666669</v>
      </c>
      <c r="S8" s="6" t="s">
        <v>48</v>
      </c>
      <c r="T8" s="51">
        <f>(SUMSQ(D14:O14)/(3*3))-T6</f>
        <v>8.6296296296296191</v>
      </c>
      <c r="V8" s="3" t="s">
        <v>32</v>
      </c>
      <c r="W8" s="53">
        <f>AVERAGE(W4:W6)</f>
        <v>13</v>
      </c>
      <c r="X8" s="53">
        <f>AVERAGE(X4:X6)</f>
        <v>33</v>
      </c>
      <c r="Y8" s="53">
        <f>AVERAGE(Y4:Y6)</f>
        <v>29.333333333333332</v>
      </c>
      <c r="Z8" s="2"/>
      <c r="AA8" s="53"/>
      <c r="AC8" s="3" t="s">
        <v>70</v>
      </c>
      <c r="AD8" s="2">
        <f>((3*3)-1)*(12-1)</f>
        <v>88</v>
      </c>
      <c r="AE8" s="53">
        <f>T12</f>
        <v>144.37037037037038</v>
      </c>
      <c r="AF8" s="53">
        <f>AE8/AD8</f>
        <v>1.6405723905723908</v>
      </c>
      <c r="AG8" s="53"/>
      <c r="AH8" s="53"/>
      <c r="AI8" s="53"/>
      <c r="AJ8" s="2"/>
      <c r="AK8" s="2"/>
      <c r="AM8" s="60" t="s">
        <v>12</v>
      </c>
      <c r="AN8" s="53">
        <v>0.41666666666666669</v>
      </c>
      <c r="AO8" s="53" t="s">
        <v>93</v>
      </c>
      <c r="AP8" s="53">
        <f>AN8+AN5</f>
        <v>2.0657474652811998</v>
      </c>
      <c r="AS8" s="3" t="s">
        <v>69</v>
      </c>
      <c r="AT8" s="2">
        <f>AT6*AT7</f>
        <v>4</v>
      </c>
      <c r="AU8" s="53">
        <f>AU5-AU6-AU7</f>
        <v>40.203703703703752</v>
      </c>
      <c r="AV8" s="53">
        <f t="shared" si="0"/>
        <v>10.050925925925938</v>
      </c>
      <c r="AW8" s="53">
        <f>AV8/AV9</f>
        <v>6.1264751154438235</v>
      </c>
      <c r="AX8" s="53">
        <f>FINV(AX3,AT8,AT9)</f>
        <v>2.4752774088696223</v>
      </c>
      <c r="AY8" s="53">
        <f>FINV(AY3,AT8,AT9)</f>
        <v>3.5400845421240663</v>
      </c>
      <c r="AZ8" s="2" t="str">
        <f>IF(AW8&gt;AY8,"**",IF(AW8&gt;AX8,"*","TN"))</f>
        <v>**</v>
      </c>
      <c r="BA8" s="2" t="str">
        <f t="shared" si="1"/>
        <v>Sangat Nyata</v>
      </c>
    </row>
    <row r="9" spans="1:53" ht="15.5" x14ac:dyDescent="0.3">
      <c r="A9" s="73"/>
      <c r="B9" s="75"/>
      <c r="C9" s="21" t="s">
        <v>13</v>
      </c>
      <c r="D9" s="27">
        <v>2</v>
      </c>
      <c r="E9" s="27">
        <v>2</v>
      </c>
      <c r="F9" s="27">
        <v>2</v>
      </c>
      <c r="G9" s="27">
        <v>2</v>
      </c>
      <c r="H9" s="27">
        <v>2</v>
      </c>
      <c r="I9" s="27">
        <v>2</v>
      </c>
      <c r="J9" s="27">
        <v>1</v>
      </c>
      <c r="K9" s="27">
        <v>4</v>
      </c>
      <c r="L9" s="27">
        <v>4</v>
      </c>
      <c r="M9" s="27">
        <v>3</v>
      </c>
      <c r="N9" s="27">
        <v>4</v>
      </c>
      <c r="O9" s="27">
        <v>4</v>
      </c>
      <c r="P9" s="22">
        <f t="shared" si="2"/>
        <v>32</v>
      </c>
      <c r="Q9" s="53">
        <f t="shared" si="3"/>
        <v>2.6666666666666665</v>
      </c>
      <c r="S9" s="6" t="s">
        <v>50</v>
      </c>
      <c r="T9" s="51">
        <f>(SUMSQ(W7:Y7)/(12*3))-T6</f>
        <v>56.685185185185162</v>
      </c>
      <c r="AA9" s="51"/>
      <c r="AC9" s="3" t="s">
        <v>33</v>
      </c>
      <c r="AD9" s="2">
        <f>(3*3*12)-1</f>
        <v>107</v>
      </c>
      <c r="AE9" s="53">
        <f>T7</f>
        <v>251.07407407407408</v>
      </c>
      <c r="AF9" s="53"/>
      <c r="AG9" s="53"/>
      <c r="AH9" s="53"/>
      <c r="AI9" s="53"/>
      <c r="AJ9" s="2"/>
      <c r="AK9" s="2"/>
      <c r="AM9" s="60" t="s">
        <v>9</v>
      </c>
      <c r="AN9" s="53">
        <v>0.5</v>
      </c>
      <c r="AO9" s="53" t="s">
        <v>93</v>
      </c>
      <c r="AP9" s="53">
        <f>AN9+AN5</f>
        <v>2.1490807986145333</v>
      </c>
      <c r="AS9" s="3" t="s">
        <v>70</v>
      </c>
      <c r="AT9" s="2">
        <f>AT10-AT4-AT5</f>
        <v>88</v>
      </c>
      <c r="AU9" s="53">
        <f>AU10-AU4-AU5</f>
        <v>144.37037037037038</v>
      </c>
      <c r="AV9" s="53">
        <f t="shared" si="0"/>
        <v>1.6405723905723908</v>
      </c>
      <c r="AW9" s="53"/>
      <c r="AX9" s="53"/>
      <c r="AY9" s="53"/>
      <c r="AZ9" s="2"/>
      <c r="BA9" s="2"/>
    </row>
    <row r="10" spans="1:53" ht="15.5" x14ac:dyDescent="0.3">
      <c r="A10" s="73"/>
      <c r="B10" s="75"/>
      <c r="C10" s="21" t="s">
        <v>14</v>
      </c>
      <c r="D10" s="27">
        <v>2</v>
      </c>
      <c r="E10" s="27">
        <v>3</v>
      </c>
      <c r="F10" s="27">
        <v>3</v>
      </c>
      <c r="G10" s="27">
        <v>1</v>
      </c>
      <c r="H10" s="27">
        <v>3</v>
      </c>
      <c r="I10" s="27">
        <v>3</v>
      </c>
      <c r="J10" s="27">
        <v>3</v>
      </c>
      <c r="K10" s="27">
        <v>1</v>
      </c>
      <c r="L10" s="27">
        <v>1</v>
      </c>
      <c r="M10" s="27">
        <v>6</v>
      </c>
      <c r="N10" s="27">
        <v>3</v>
      </c>
      <c r="O10" s="27">
        <v>4</v>
      </c>
      <c r="P10" s="22">
        <f t="shared" si="2"/>
        <v>33</v>
      </c>
      <c r="Q10" s="53">
        <f t="shared" si="3"/>
        <v>2.75</v>
      </c>
      <c r="S10" s="6" t="s">
        <v>49</v>
      </c>
      <c r="T10" s="51">
        <f>(SUMSQ(Z4:Z6)/(12*3))-T6</f>
        <v>1.185185185185162</v>
      </c>
      <c r="AA10" s="51"/>
      <c r="AE10" s="51"/>
      <c r="AF10" s="51"/>
      <c r="AG10" s="51"/>
      <c r="AH10" s="51"/>
      <c r="AI10" s="51"/>
      <c r="AM10" s="60" t="s">
        <v>17</v>
      </c>
      <c r="AN10" s="53">
        <v>2</v>
      </c>
      <c r="AO10" s="53" t="s">
        <v>99</v>
      </c>
      <c r="AP10" s="53">
        <f>AN10+AN5</f>
        <v>3.6490807986145333</v>
      </c>
      <c r="AS10" s="3" t="s">
        <v>33</v>
      </c>
      <c r="AT10" s="2">
        <f>(3*3*12)-1</f>
        <v>107</v>
      </c>
      <c r="AU10" s="53">
        <f>SUMSQ(D5:O13)-AT13</f>
        <v>251.07407407407408</v>
      </c>
      <c r="AV10" s="53"/>
      <c r="AW10" s="53"/>
      <c r="AX10" s="53"/>
      <c r="AY10" s="53"/>
      <c r="AZ10" s="2"/>
      <c r="BA10" s="2"/>
    </row>
    <row r="11" spans="1:53" ht="15.5" x14ac:dyDescent="0.3">
      <c r="A11" s="73"/>
      <c r="B11" s="75"/>
      <c r="C11" s="21" t="s">
        <v>15</v>
      </c>
      <c r="D11" s="26">
        <v>0</v>
      </c>
      <c r="E11" s="26">
        <v>0</v>
      </c>
      <c r="F11" s="26">
        <v>0</v>
      </c>
      <c r="G11" s="26">
        <v>1</v>
      </c>
      <c r="H11" s="26">
        <v>3</v>
      </c>
      <c r="I11" s="26">
        <v>3</v>
      </c>
      <c r="J11" s="26">
        <v>4</v>
      </c>
      <c r="K11" s="26">
        <v>5</v>
      </c>
      <c r="L11" s="26">
        <v>5</v>
      </c>
      <c r="M11" s="26">
        <v>3</v>
      </c>
      <c r="N11" s="26">
        <v>2</v>
      </c>
      <c r="O11" s="26">
        <v>2</v>
      </c>
      <c r="P11" s="22">
        <f t="shared" si="2"/>
        <v>28</v>
      </c>
      <c r="Q11" s="53">
        <f t="shared" si="3"/>
        <v>2.3333333333333335</v>
      </c>
      <c r="S11" s="6" t="s">
        <v>51</v>
      </c>
      <c r="T11" s="51">
        <f>(SUMSQ(W4:Y6)/(12))-T6-T9-T10</f>
        <v>40.203703703703752</v>
      </c>
      <c r="AA11" s="51"/>
      <c r="AE11" s="51"/>
      <c r="AF11" s="51"/>
      <c r="AG11" s="51"/>
      <c r="AH11" s="51"/>
      <c r="AI11" s="51"/>
      <c r="AM11" s="60" t="s">
        <v>16</v>
      </c>
      <c r="AN11" s="53">
        <v>2.1666666666666665</v>
      </c>
      <c r="AO11" s="53" t="s">
        <v>94</v>
      </c>
      <c r="AP11" s="53">
        <f>AN11+AN5</f>
        <v>3.8157474652811998</v>
      </c>
    </row>
    <row r="12" spans="1:53" ht="15.5" x14ac:dyDescent="0.3">
      <c r="A12" s="73"/>
      <c r="B12" s="75"/>
      <c r="C12" s="21" t="s">
        <v>16</v>
      </c>
      <c r="D12" s="26">
        <v>0</v>
      </c>
      <c r="E12" s="26">
        <v>5</v>
      </c>
      <c r="F12" s="26">
        <v>5</v>
      </c>
      <c r="G12" s="26">
        <v>1</v>
      </c>
      <c r="H12" s="26">
        <v>1</v>
      </c>
      <c r="I12" s="26">
        <v>1</v>
      </c>
      <c r="J12" s="26">
        <v>3</v>
      </c>
      <c r="K12" s="26">
        <v>0</v>
      </c>
      <c r="L12" s="26">
        <v>0</v>
      </c>
      <c r="M12" s="26">
        <v>3</v>
      </c>
      <c r="N12" s="26">
        <v>3</v>
      </c>
      <c r="O12" s="26">
        <v>4</v>
      </c>
      <c r="P12" s="22">
        <f t="shared" si="2"/>
        <v>26</v>
      </c>
      <c r="Q12" s="53">
        <f t="shared" si="3"/>
        <v>2.1666666666666665</v>
      </c>
      <c r="S12" s="6" t="s">
        <v>52</v>
      </c>
      <c r="T12" s="51">
        <f>T7-T8-T9-T10-T11</f>
        <v>144.37037037037038</v>
      </c>
      <c r="AA12" s="51"/>
      <c r="AE12" s="51"/>
      <c r="AF12" s="51"/>
      <c r="AG12" s="51"/>
      <c r="AH12" s="51"/>
      <c r="AI12" s="51"/>
      <c r="AM12" s="60" t="s">
        <v>15</v>
      </c>
      <c r="AN12" s="53">
        <v>2.3333333333333335</v>
      </c>
      <c r="AO12" s="53" t="s">
        <v>94</v>
      </c>
      <c r="AP12" s="53">
        <f>AN12+AN5</f>
        <v>3.9824141319478668</v>
      </c>
    </row>
    <row r="13" spans="1:53" ht="15.5" x14ac:dyDescent="0.3">
      <c r="A13" s="73"/>
      <c r="B13" s="75"/>
      <c r="C13" s="21" t="s">
        <v>17</v>
      </c>
      <c r="D13" s="26">
        <v>2</v>
      </c>
      <c r="E13" s="26">
        <v>2</v>
      </c>
      <c r="F13" s="26">
        <v>2</v>
      </c>
      <c r="G13" s="26">
        <v>1</v>
      </c>
      <c r="H13" s="26">
        <v>4</v>
      </c>
      <c r="I13" s="26">
        <v>4</v>
      </c>
      <c r="J13" s="26">
        <v>0</v>
      </c>
      <c r="K13" s="26">
        <v>2</v>
      </c>
      <c r="L13" s="26">
        <v>2</v>
      </c>
      <c r="M13" s="26">
        <v>2</v>
      </c>
      <c r="N13" s="26">
        <v>1</v>
      </c>
      <c r="O13" s="26">
        <v>2</v>
      </c>
      <c r="P13" s="22">
        <f t="shared" si="2"/>
        <v>24</v>
      </c>
      <c r="Q13" s="53">
        <f t="shared" si="3"/>
        <v>2</v>
      </c>
      <c r="AA13" s="51"/>
      <c r="AE13" s="51"/>
      <c r="AF13" s="51"/>
      <c r="AG13" s="51"/>
      <c r="AH13" s="51"/>
      <c r="AI13" s="51"/>
      <c r="AM13" s="60" t="s">
        <v>11</v>
      </c>
      <c r="AN13" s="53">
        <v>2.5833333333333335</v>
      </c>
      <c r="AO13" s="53" t="s">
        <v>94</v>
      </c>
      <c r="AP13" s="53">
        <f>AN13+AN5</f>
        <v>4.2324141319478663</v>
      </c>
      <c r="AS13" s="2" t="s">
        <v>46</v>
      </c>
      <c r="AT13" s="53">
        <f>P14^2/(3*3*12)</f>
        <v>472.92592592592592</v>
      </c>
    </row>
    <row r="14" spans="1:53" x14ac:dyDescent="0.3">
      <c r="A14" s="73"/>
      <c r="B14" s="75"/>
      <c r="C14" s="20" t="s">
        <v>33</v>
      </c>
      <c r="D14" s="23">
        <f>SUM(D5:D13)</f>
        <v>14</v>
      </c>
      <c r="E14" s="23">
        <f t="shared" ref="E14:O14" si="4">SUM(E5:E13)</f>
        <v>20</v>
      </c>
      <c r="F14" s="23">
        <f t="shared" si="4"/>
        <v>20</v>
      </c>
      <c r="G14" s="23">
        <f t="shared" si="4"/>
        <v>15</v>
      </c>
      <c r="H14" s="23">
        <f t="shared" si="4"/>
        <v>20</v>
      </c>
      <c r="I14" s="23">
        <f t="shared" si="4"/>
        <v>20</v>
      </c>
      <c r="J14" s="23">
        <f t="shared" si="4"/>
        <v>18</v>
      </c>
      <c r="K14" s="23">
        <f t="shared" si="4"/>
        <v>18</v>
      </c>
      <c r="L14" s="23">
        <f t="shared" si="4"/>
        <v>18</v>
      </c>
      <c r="M14" s="23">
        <f t="shared" si="4"/>
        <v>24</v>
      </c>
      <c r="N14" s="23">
        <f t="shared" si="4"/>
        <v>18</v>
      </c>
      <c r="O14" s="23">
        <f t="shared" si="4"/>
        <v>21</v>
      </c>
      <c r="P14" s="22">
        <f t="shared" si="2"/>
        <v>226</v>
      </c>
      <c r="Q14" s="53"/>
      <c r="AA14" s="51"/>
      <c r="AE14" s="51"/>
      <c r="AF14" s="51"/>
      <c r="AG14" s="51"/>
      <c r="AH14" s="51"/>
      <c r="AI14" s="51"/>
      <c r="AM14" s="60" t="s">
        <v>13</v>
      </c>
      <c r="AN14" s="53">
        <v>2.6666666666666665</v>
      </c>
      <c r="AO14" s="53" t="s">
        <v>94</v>
      </c>
      <c r="AP14" s="53">
        <f>AN14+AN5</f>
        <v>4.3157474652812002</v>
      </c>
    </row>
    <row r="15" spans="1:53" x14ac:dyDescent="0.3">
      <c r="A15" s="66"/>
      <c r="B15" s="76"/>
      <c r="C15" s="20" t="s">
        <v>32</v>
      </c>
      <c r="D15" s="53">
        <f>AVERAGE(D5:D13)</f>
        <v>1.5555555555555556</v>
      </c>
      <c r="E15" s="53">
        <f t="shared" ref="E15:O15" si="5">AVERAGE(E5:E13)</f>
        <v>2.2222222222222223</v>
      </c>
      <c r="F15" s="53">
        <f t="shared" si="5"/>
        <v>2.2222222222222223</v>
      </c>
      <c r="G15" s="53">
        <f t="shared" si="5"/>
        <v>1.6666666666666667</v>
      </c>
      <c r="H15" s="53">
        <f t="shared" si="5"/>
        <v>2.2222222222222223</v>
      </c>
      <c r="I15" s="53">
        <f t="shared" si="5"/>
        <v>2.2222222222222223</v>
      </c>
      <c r="J15" s="53">
        <f t="shared" si="5"/>
        <v>2</v>
      </c>
      <c r="K15" s="53">
        <f t="shared" si="5"/>
        <v>2</v>
      </c>
      <c r="L15" s="53">
        <f t="shared" si="5"/>
        <v>2</v>
      </c>
      <c r="M15" s="53">
        <f t="shared" si="5"/>
        <v>2.6666666666666665</v>
      </c>
      <c r="N15" s="53">
        <f t="shared" si="5"/>
        <v>2</v>
      </c>
      <c r="O15" s="53">
        <f t="shared" si="5"/>
        <v>2.3333333333333335</v>
      </c>
      <c r="P15" s="2"/>
      <c r="Q15" s="53"/>
      <c r="AA15" s="51"/>
      <c r="AE15" s="51"/>
      <c r="AF15" s="51"/>
      <c r="AG15" s="51"/>
      <c r="AH15" s="51"/>
      <c r="AI15" s="51"/>
      <c r="AM15" s="60" t="s">
        <v>14</v>
      </c>
      <c r="AN15" s="53">
        <v>2.75</v>
      </c>
      <c r="AO15" s="53" t="s">
        <v>94</v>
      </c>
      <c r="AP15" s="53">
        <f>AN15+AN5</f>
        <v>4.3990807986145333</v>
      </c>
    </row>
    <row r="16" spans="1:53" x14ac:dyDescent="0.3">
      <c r="Q16" s="51"/>
      <c r="AA16" s="51"/>
      <c r="AE16" s="51"/>
      <c r="AF16" s="51"/>
      <c r="AG16" s="51"/>
      <c r="AH16" s="51"/>
      <c r="AI16" s="51"/>
      <c r="AM16" s="60" t="s">
        <v>10</v>
      </c>
      <c r="AN16" s="53">
        <v>3.4166666666666665</v>
      </c>
      <c r="AO16" s="53" t="s">
        <v>94</v>
      </c>
      <c r="AP16" s="53">
        <f>AN16+AN5</f>
        <v>5.0657474652812002</v>
      </c>
      <c r="AS16" s="6" t="s">
        <v>97</v>
      </c>
    </row>
    <row r="17" spans="1:53" x14ac:dyDescent="0.3">
      <c r="A17" s="3" t="s">
        <v>18</v>
      </c>
      <c r="B17" s="3" t="s">
        <v>20</v>
      </c>
      <c r="C17" s="87" t="s">
        <v>0</v>
      </c>
      <c r="D17" s="69" t="s">
        <v>1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5" t="s">
        <v>33</v>
      </c>
      <c r="Q17" s="67" t="s">
        <v>32</v>
      </c>
      <c r="V17" s="65" t="s">
        <v>53</v>
      </c>
      <c r="W17" s="70" t="s">
        <v>54</v>
      </c>
      <c r="X17" s="71"/>
      <c r="Y17" s="72"/>
      <c r="Z17" s="65" t="s">
        <v>33</v>
      </c>
      <c r="AA17" s="67" t="s">
        <v>32</v>
      </c>
      <c r="AC17" s="65" t="s">
        <v>61</v>
      </c>
      <c r="AD17" s="65" t="s">
        <v>62</v>
      </c>
      <c r="AE17" s="67" t="s">
        <v>63</v>
      </c>
      <c r="AF17" s="67" t="s">
        <v>64</v>
      </c>
      <c r="AG17" s="67" t="s">
        <v>65</v>
      </c>
      <c r="AH17" s="64" t="s">
        <v>66</v>
      </c>
      <c r="AI17" s="64"/>
      <c r="AJ17" s="65" t="s">
        <v>67</v>
      </c>
      <c r="AK17" s="65" t="s">
        <v>68</v>
      </c>
      <c r="AM17" s="51"/>
      <c r="AN17" s="51"/>
      <c r="AO17" s="51"/>
      <c r="AP17" s="51"/>
      <c r="AS17" s="65" t="s">
        <v>61</v>
      </c>
      <c r="AT17" s="65" t="s">
        <v>62</v>
      </c>
      <c r="AU17" s="65" t="s">
        <v>63</v>
      </c>
      <c r="AV17" s="65" t="s">
        <v>64</v>
      </c>
      <c r="AW17" s="65" t="s">
        <v>65</v>
      </c>
      <c r="AX17" s="69" t="s">
        <v>66</v>
      </c>
      <c r="AY17" s="69"/>
      <c r="AZ17" s="65" t="s">
        <v>67</v>
      </c>
      <c r="BA17" s="65" t="s">
        <v>68</v>
      </c>
    </row>
    <row r="18" spans="1:53" x14ac:dyDescent="0.3">
      <c r="A18" s="65">
        <v>2</v>
      </c>
      <c r="B18" s="74" t="s">
        <v>37</v>
      </c>
      <c r="C18" s="87"/>
      <c r="D18" s="69" t="s">
        <v>2</v>
      </c>
      <c r="E18" s="69"/>
      <c r="F18" s="69"/>
      <c r="G18" s="69"/>
      <c r="H18" s="69" t="s">
        <v>7</v>
      </c>
      <c r="I18" s="69"/>
      <c r="J18" s="69"/>
      <c r="K18" s="69"/>
      <c r="L18" s="69" t="s">
        <v>8</v>
      </c>
      <c r="M18" s="69"/>
      <c r="N18" s="69"/>
      <c r="O18" s="69"/>
      <c r="P18" s="73"/>
      <c r="Q18" s="77"/>
      <c r="S18" s="6" t="s">
        <v>71</v>
      </c>
      <c r="T18" s="6">
        <v>12</v>
      </c>
      <c r="V18" s="66"/>
      <c r="W18" s="3" t="s">
        <v>55</v>
      </c>
      <c r="X18" s="3" t="s">
        <v>56</v>
      </c>
      <c r="Y18" s="3" t="s">
        <v>57</v>
      </c>
      <c r="Z18" s="66"/>
      <c r="AA18" s="68"/>
      <c r="AC18" s="66"/>
      <c r="AD18" s="66"/>
      <c r="AE18" s="68"/>
      <c r="AF18" s="68"/>
      <c r="AG18" s="68"/>
      <c r="AH18" s="59">
        <v>0.05</v>
      </c>
      <c r="AI18" s="59">
        <v>0.01</v>
      </c>
      <c r="AJ18" s="66"/>
      <c r="AK18" s="66"/>
      <c r="AM18" s="80" t="s">
        <v>80</v>
      </c>
      <c r="AN18" s="80"/>
      <c r="AO18" s="51"/>
      <c r="AP18" s="51"/>
      <c r="AS18" s="66"/>
      <c r="AT18" s="66"/>
      <c r="AU18" s="66"/>
      <c r="AV18" s="66"/>
      <c r="AW18" s="66"/>
      <c r="AX18" s="42">
        <v>0.05</v>
      </c>
      <c r="AY18" s="42">
        <v>0.01</v>
      </c>
      <c r="AZ18" s="66"/>
      <c r="BA18" s="66"/>
    </row>
    <row r="19" spans="1:53" x14ac:dyDescent="0.3">
      <c r="A19" s="73"/>
      <c r="B19" s="75"/>
      <c r="C19" s="87"/>
      <c r="D19" s="18" t="s">
        <v>3</v>
      </c>
      <c r="E19" s="18" t="s">
        <v>4</v>
      </c>
      <c r="F19" s="18" t="s">
        <v>5</v>
      </c>
      <c r="G19" s="18" t="s">
        <v>6</v>
      </c>
      <c r="H19" s="18" t="s">
        <v>3</v>
      </c>
      <c r="I19" s="18" t="s">
        <v>4</v>
      </c>
      <c r="J19" s="18" t="s">
        <v>5</v>
      </c>
      <c r="K19" s="18" t="s">
        <v>6</v>
      </c>
      <c r="L19" s="18" t="s">
        <v>3</v>
      </c>
      <c r="M19" s="18" t="s">
        <v>4</v>
      </c>
      <c r="N19" s="18" t="s">
        <v>5</v>
      </c>
      <c r="O19" s="18" t="s">
        <v>6</v>
      </c>
      <c r="P19" s="66"/>
      <c r="Q19" s="68"/>
      <c r="S19" s="6" t="s">
        <v>44</v>
      </c>
      <c r="T19" s="6">
        <v>3</v>
      </c>
      <c r="V19" s="3" t="s">
        <v>58</v>
      </c>
      <c r="W19" s="2">
        <f>SUM(D20:O20)</f>
        <v>29</v>
      </c>
      <c r="X19" s="2">
        <f>SUM(D21:O21)</f>
        <v>33</v>
      </c>
      <c r="Y19" s="2">
        <f>SUM(D22:O22)</f>
        <v>34</v>
      </c>
      <c r="Z19" s="2">
        <f>SUM(W19:Y19)</f>
        <v>96</v>
      </c>
      <c r="AA19" s="53">
        <f>AVERAGE(W19:Y19)</f>
        <v>32</v>
      </c>
      <c r="AC19" s="3" t="s">
        <v>43</v>
      </c>
      <c r="AD19" s="2">
        <f>12-1</f>
        <v>11</v>
      </c>
      <c r="AE19" s="53">
        <f>T23</f>
        <v>17.740740740740875</v>
      </c>
      <c r="AF19" s="53">
        <f>AE19/AD19</f>
        <v>1.6127946127946251</v>
      </c>
      <c r="AG19" s="53">
        <f>AF19/AF23</f>
        <v>1.1818041634541359</v>
      </c>
      <c r="AH19" s="53">
        <f>FINV(AH18,AD19,AD23)</f>
        <v>1.8991710184693407</v>
      </c>
      <c r="AI19" s="53">
        <f>FINV(AI18,AD19,AD23)</f>
        <v>2.4560580535880434</v>
      </c>
      <c r="AJ19" s="30" t="s">
        <v>95</v>
      </c>
      <c r="AK19" s="2"/>
      <c r="AM19" s="54" t="s">
        <v>74</v>
      </c>
      <c r="AN19" s="54">
        <f>SQRT(AF23/12)</f>
        <v>0.33722996013953521</v>
      </c>
      <c r="AO19" s="56"/>
      <c r="AP19" s="55" t="s">
        <v>85</v>
      </c>
      <c r="AS19" s="3" t="s">
        <v>43</v>
      </c>
      <c r="AT19" s="2">
        <f>12-1</f>
        <v>11</v>
      </c>
      <c r="AU19" s="6">
        <f>SUMSQ(D29:O29)/(3*3)-AT28</f>
        <v>17.740740740740875</v>
      </c>
      <c r="AV19" s="53">
        <f>AU19/AT19</f>
        <v>1.6127946127946251</v>
      </c>
      <c r="AW19" s="53">
        <f>AV19/AV24</f>
        <v>1.1818041634541359</v>
      </c>
      <c r="AX19" s="53">
        <f>FINV(AX18,AT19,AT24)</f>
        <v>1.8991710184693407</v>
      </c>
      <c r="AY19" s="53">
        <f>FINV(AY18,AT19,AT24)</f>
        <v>2.4560580535880434</v>
      </c>
      <c r="AZ19" s="2" t="str">
        <f>IF(AW19&gt;AY19,"**",IF(AW19&gt;AX19,"*","TN"))</f>
        <v>TN</v>
      </c>
      <c r="BA19" s="2" t="str">
        <f>IF(AZ19="TN","Tidak Nyata",IF(AZ19="*","Nyata",IF(AZ19="**","Sangat Nyata",0)))</f>
        <v>Tidak Nyata</v>
      </c>
    </row>
    <row r="20" spans="1:53" ht="15.5" x14ac:dyDescent="0.3">
      <c r="A20" s="73"/>
      <c r="B20" s="75"/>
      <c r="C20" s="21" t="s">
        <v>9</v>
      </c>
      <c r="D20" s="26">
        <v>3</v>
      </c>
      <c r="E20" s="26">
        <v>3</v>
      </c>
      <c r="F20" s="26">
        <v>2</v>
      </c>
      <c r="G20" s="26">
        <v>1</v>
      </c>
      <c r="H20" s="26">
        <v>3</v>
      </c>
      <c r="I20" s="26">
        <v>3</v>
      </c>
      <c r="J20" s="26">
        <v>2</v>
      </c>
      <c r="K20" s="26">
        <v>1</v>
      </c>
      <c r="L20" s="26">
        <v>4</v>
      </c>
      <c r="M20" s="26">
        <v>3</v>
      </c>
      <c r="N20" s="26">
        <v>3</v>
      </c>
      <c r="O20" s="26">
        <v>1</v>
      </c>
      <c r="P20" s="22">
        <f>SUM(D20:O20)</f>
        <v>29</v>
      </c>
      <c r="Q20" s="53">
        <f>AVERAGE(D20:O20)</f>
        <v>2.4166666666666665</v>
      </c>
      <c r="S20" s="6" t="s">
        <v>45</v>
      </c>
      <c r="T20" s="6">
        <v>3</v>
      </c>
      <c r="V20" s="3" t="s">
        <v>59</v>
      </c>
      <c r="W20" s="2">
        <f>SUM(D23:O23)</f>
        <v>49</v>
      </c>
      <c r="X20" s="2">
        <f>SUM(D24:O24)</f>
        <v>56</v>
      </c>
      <c r="Y20" s="2">
        <f>SUM(D25:O25)</f>
        <v>45</v>
      </c>
      <c r="Z20" s="2">
        <f>SUM(W20:Y20)</f>
        <v>150</v>
      </c>
      <c r="AA20" s="53">
        <f>AVERAGE(W20:Y20)</f>
        <v>50</v>
      </c>
      <c r="AC20" s="3" t="s">
        <v>45</v>
      </c>
      <c r="AD20" s="2">
        <f>3-1</f>
        <v>2</v>
      </c>
      <c r="AE20" s="53">
        <f>T24</f>
        <v>1.4074074074073906</v>
      </c>
      <c r="AF20" s="53">
        <f>AE20/AD20</f>
        <v>0.70370370370369528</v>
      </c>
      <c r="AG20" s="53">
        <f>AF20/AF23</f>
        <v>0.51565150346953981</v>
      </c>
      <c r="AH20" s="53">
        <f>FINV(AH18,AD20,AD23)</f>
        <v>3.1000686386371408</v>
      </c>
      <c r="AI20" s="53">
        <f>FINV(AI18,AD20,AD23)</f>
        <v>4.8547979993760721</v>
      </c>
      <c r="AJ20" s="30" t="s">
        <v>95</v>
      </c>
      <c r="AK20" s="2"/>
      <c r="AM20" s="53" t="s">
        <v>75</v>
      </c>
      <c r="AN20" s="54">
        <v>4.46</v>
      </c>
      <c r="AO20" s="51"/>
      <c r="AP20" s="51"/>
      <c r="AS20" s="3" t="s">
        <v>98</v>
      </c>
      <c r="AT20" s="2">
        <f>3*3-1</f>
        <v>8</v>
      </c>
      <c r="AU20" s="53">
        <f>SUMSQ(P20:P28)/12-AT28</f>
        <v>71.240740740740875</v>
      </c>
      <c r="AV20" s="53">
        <f t="shared" ref="AV20:AV24" si="6">AU20/AT20</f>
        <v>8.9050925925926094</v>
      </c>
      <c r="AW20" s="53">
        <f>AV20/AV24</f>
        <v>6.5253662297610102</v>
      </c>
      <c r="AX20" s="53">
        <f>FINV(AX18,AT20,AT24)</f>
        <v>2.0454143150341193</v>
      </c>
      <c r="AY20" s="53">
        <f>FINV(AY18,AT20,AT24)</f>
        <v>2.720181875728696</v>
      </c>
      <c r="AZ20" s="2" t="str">
        <f>IF(AW20&gt;AY20,"**",IF(AW20&gt;AX20,"*","TN"))</f>
        <v>**</v>
      </c>
      <c r="BA20" s="2" t="str">
        <f t="shared" ref="BA20:BA23" si="7">IF(AZ20="TN","Tidak Nyata",IF(AZ20="*","Nyata",IF(AZ20="**","Sangat Nyata",0)))</f>
        <v>Sangat Nyata</v>
      </c>
    </row>
    <row r="21" spans="1:53" ht="15.5" x14ac:dyDescent="0.3">
      <c r="A21" s="73"/>
      <c r="B21" s="75"/>
      <c r="C21" s="21" t="s">
        <v>10</v>
      </c>
      <c r="D21" s="26">
        <v>2</v>
      </c>
      <c r="E21" s="26">
        <v>3</v>
      </c>
      <c r="F21" s="26">
        <v>2</v>
      </c>
      <c r="G21" s="26">
        <v>4</v>
      </c>
      <c r="H21" s="26">
        <v>3</v>
      </c>
      <c r="I21" s="26">
        <v>3</v>
      </c>
      <c r="J21" s="26">
        <v>4</v>
      </c>
      <c r="K21" s="26">
        <v>2</v>
      </c>
      <c r="L21" s="26">
        <v>3</v>
      </c>
      <c r="M21" s="26">
        <v>5</v>
      </c>
      <c r="N21" s="26">
        <v>0</v>
      </c>
      <c r="O21" s="26">
        <v>2</v>
      </c>
      <c r="P21" s="22">
        <f t="shared" ref="P21:P29" si="8">SUM(D21:O21)</f>
        <v>33</v>
      </c>
      <c r="Q21" s="53">
        <f t="shared" ref="Q21:Q28" si="9">AVERAGE(D21:O21)</f>
        <v>2.75</v>
      </c>
      <c r="S21" s="6" t="s">
        <v>46</v>
      </c>
      <c r="T21" s="51">
        <f>(P29^2)/(12*3*3)</f>
        <v>1032.9259259259259</v>
      </c>
      <c r="V21" s="3" t="s">
        <v>60</v>
      </c>
      <c r="W21" s="2">
        <f>SUM(D26:O26)</f>
        <v>28</v>
      </c>
      <c r="X21" s="2">
        <f>SUM(D27:O27)</f>
        <v>27</v>
      </c>
      <c r="Y21" s="2">
        <f>SUM(D28:O28)</f>
        <v>33</v>
      </c>
      <c r="Z21" s="2">
        <f>SUM(W21:Y21)</f>
        <v>88</v>
      </c>
      <c r="AA21" s="53">
        <f>AVERAGE(W21:Y21)</f>
        <v>29.333333333333332</v>
      </c>
      <c r="AC21" s="3" t="s">
        <v>44</v>
      </c>
      <c r="AD21" s="2">
        <f>3-1</f>
        <v>2</v>
      </c>
      <c r="AE21" s="53">
        <f>T25</f>
        <v>63.185185185185219</v>
      </c>
      <c r="AF21" s="53">
        <f>AE21/AD21</f>
        <v>31.592592592592609</v>
      </c>
      <c r="AG21" s="53">
        <f>AF21/AF23</f>
        <v>23.150038550501208</v>
      </c>
      <c r="AH21" s="53">
        <f>FINV(AH18,AD21,AD23)</f>
        <v>3.1000686386371408</v>
      </c>
      <c r="AI21" s="53">
        <f>FINV(AI18,AD21,AD23)</f>
        <v>4.8547979993760721</v>
      </c>
      <c r="AJ21" s="30" t="s">
        <v>72</v>
      </c>
      <c r="AK21" s="2"/>
      <c r="AM21" s="53" t="s">
        <v>76</v>
      </c>
      <c r="AN21" s="54">
        <f>AN20*AN19</f>
        <v>1.5040456222223271</v>
      </c>
      <c r="AO21" s="51"/>
      <c r="AP21" s="51"/>
      <c r="AS21" s="3" t="s">
        <v>45</v>
      </c>
      <c r="AT21" s="2">
        <f>3-1</f>
        <v>2</v>
      </c>
      <c r="AU21" s="53">
        <f>SUMSQ(W22:Y22)/(3*12)-AT28</f>
        <v>1.4074074074073906</v>
      </c>
      <c r="AV21" s="53">
        <f t="shared" si="6"/>
        <v>0.70370370370369528</v>
      </c>
      <c r="AW21" s="53">
        <f>AV21/AV24</f>
        <v>0.51565150346953981</v>
      </c>
      <c r="AX21" s="53">
        <f>FINV(AX18,AT21,AT24)</f>
        <v>3.1000686386371408</v>
      </c>
      <c r="AY21" s="53">
        <f>FINV(AY18,AT21,AT24)</f>
        <v>4.8547979993760721</v>
      </c>
      <c r="AZ21" s="2" t="str">
        <f>IF(AW21&gt;AY21,"**",IF(AW21&gt;AX21,"*","TN"))</f>
        <v>TN</v>
      </c>
      <c r="BA21" s="2" t="str">
        <f t="shared" si="7"/>
        <v>Tidak Nyata</v>
      </c>
    </row>
    <row r="22" spans="1:53" ht="15.5" x14ac:dyDescent="0.3">
      <c r="A22" s="73"/>
      <c r="B22" s="75"/>
      <c r="C22" s="21" t="s">
        <v>11</v>
      </c>
      <c r="D22" s="26">
        <v>3</v>
      </c>
      <c r="E22" s="26">
        <v>3</v>
      </c>
      <c r="F22" s="26">
        <v>2</v>
      </c>
      <c r="G22" s="26">
        <v>3</v>
      </c>
      <c r="H22" s="26">
        <v>4</v>
      </c>
      <c r="I22" s="26">
        <v>3</v>
      </c>
      <c r="J22" s="26">
        <v>4</v>
      </c>
      <c r="K22" s="26">
        <v>2</v>
      </c>
      <c r="L22" s="26">
        <v>3</v>
      </c>
      <c r="M22" s="26">
        <v>3</v>
      </c>
      <c r="N22" s="26">
        <v>2</v>
      </c>
      <c r="O22" s="26">
        <v>2</v>
      </c>
      <c r="P22" s="22">
        <f t="shared" si="8"/>
        <v>34</v>
      </c>
      <c r="Q22" s="53">
        <f t="shared" si="9"/>
        <v>2.8333333333333335</v>
      </c>
      <c r="S22" s="6" t="s">
        <v>47</v>
      </c>
      <c r="T22" s="51">
        <f>SUMSQ(D20:O28)-T21</f>
        <v>209.07407407407413</v>
      </c>
      <c r="V22" s="3" t="s">
        <v>33</v>
      </c>
      <c r="W22" s="2">
        <f>SUM(W19:W21)</f>
        <v>106</v>
      </c>
      <c r="X22" s="2">
        <f>SUM(X19:X21)</f>
        <v>116</v>
      </c>
      <c r="Y22" s="2">
        <f>SUM(Y19:Y21)</f>
        <v>112</v>
      </c>
      <c r="Z22" s="2">
        <f>SUM(W22:Y22)</f>
        <v>334</v>
      </c>
      <c r="AA22" s="53">
        <f>AVERAGE(W22:Y22)</f>
        <v>111.33333333333333</v>
      </c>
      <c r="AC22" s="3" t="s">
        <v>69</v>
      </c>
      <c r="AD22" s="2">
        <f>(3-1)*(3-1)</f>
        <v>4</v>
      </c>
      <c r="AE22" s="53">
        <f>T26</f>
        <v>6.648148148148266</v>
      </c>
      <c r="AF22" s="53">
        <f>AE22/AD22</f>
        <v>1.6620370370370665</v>
      </c>
      <c r="AG22" s="53">
        <f>AF22/AF23</f>
        <v>1.2178874325366467</v>
      </c>
      <c r="AH22" s="53">
        <f>FINV(AH18,AD22,AD23)</f>
        <v>2.4752774088696223</v>
      </c>
      <c r="AI22" s="53">
        <f>FINV(AI18,AD22,AD23)</f>
        <v>3.5400845421240663</v>
      </c>
      <c r="AJ22" s="30" t="s">
        <v>95</v>
      </c>
      <c r="AK22" s="2"/>
      <c r="AM22" s="51"/>
      <c r="AN22" s="51"/>
      <c r="AO22" s="51"/>
      <c r="AP22" s="51"/>
      <c r="AS22" s="3" t="s">
        <v>44</v>
      </c>
      <c r="AT22" s="2">
        <f>3-1</f>
        <v>2</v>
      </c>
      <c r="AU22" s="53">
        <f>SUMSQ(Z19:Z21)/(3*12)-AT28</f>
        <v>63.185185185185219</v>
      </c>
      <c r="AV22" s="53">
        <f t="shared" si="6"/>
        <v>31.592592592592609</v>
      </c>
      <c r="AW22" s="53">
        <f>AV22/AV24</f>
        <v>23.150038550501208</v>
      </c>
      <c r="AX22" s="53">
        <f>FINV(AX18,AT22,AT24)</f>
        <v>3.1000686386371408</v>
      </c>
      <c r="AY22" s="53">
        <f>FINV(AY18,AT22,AT24)</f>
        <v>4.8547979993760721</v>
      </c>
      <c r="AZ22" s="2" t="str">
        <f>IF(AW22&gt;AY22,"**",IF(AW22&gt;AX22,"*","TN"))</f>
        <v>**</v>
      </c>
      <c r="BA22" s="2" t="str">
        <f t="shared" si="7"/>
        <v>Sangat Nyata</v>
      </c>
    </row>
    <row r="23" spans="1:53" ht="15.5" x14ac:dyDescent="0.3">
      <c r="A23" s="73"/>
      <c r="B23" s="75"/>
      <c r="C23" s="21" t="s">
        <v>12</v>
      </c>
      <c r="D23" s="27">
        <v>3</v>
      </c>
      <c r="E23" s="27">
        <v>4</v>
      </c>
      <c r="F23" s="27">
        <v>2</v>
      </c>
      <c r="G23" s="27">
        <v>5</v>
      </c>
      <c r="H23" s="27">
        <v>2</v>
      </c>
      <c r="I23" s="27">
        <v>3</v>
      </c>
      <c r="J23" s="27">
        <v>4</v>
      </c>
      <c r="K23" s="27">
        <v>5</v>
      </c>
      <c r="L23" s="27">
        <v>6</v>
      </c>
      <c r="M23" s="27">
        <v>4</v>
      </c>
      <c r="N23" s="27">
        <v>5</v>
      </c>
      <c r="O23" s="27">
        <v>6</v>
      </c>
      <c r="P23" s="22">
        <f t="shared" si="8"/>
        <v>49</v>
      </c>
      <c r="Q23" s="53">
        <f t="shared" si="9"/>
        <v>4.083333333333333</v>
      </c>
      <c r="S23" s="6" t="s">
        <v>48</v>
      </c>
      <c r="T23" s="51">
        <f>(SUMSQ(D29:O29)/(3*3))-T21</f>
        <v>17.740740740740875</v>
      </c>
      <c r="V23" s="3" t="s">
        <v>32</v>
      </c>
      <c r="W23" s="53">
        <f>AVERAGE(W19:W21)</f>
        <v>35.333333333333336</v>
      </c>
      <c r="X23" s="53">
        <f>AVERAGE(X19:X21)</f>
        <v>38.666666666666664</v>
      </c>
      <c r="Y23" s="53">
        <f>AVERAGE(Y19:Y21)</f>
        <v>37.333333333333336</v>
      </c>
      <c r="Z23" s="2"/>
      <c r="AA23" s="53"/>
      <c r="AC23" s="3" t="s">
        <v>70</v>
      </c>
      <c r="AD23" s="2">
        <f>((3*3)-1)*(12-1)</f>
        <v>88</v>
      </c>
      <c r="AE23" s="53">
        <f>T27</f>
        <v>120.09259259259238</v>
      </c>
      <c r="AF23" s="53">
        <f>AE23/AD23</f>
        <v>1.3646885521885499</v>
      </c>
      <c r="AG23" s="53"/>
      <c r="AH23" s="53"/>
      <c r="AI23" s="53"/>
      <c r="AJ23" s="2"/>
      <c r="AK23" s="2"/>
      <c r="AM23" s="54" t="s">
        <v>0</v>
      </c>
      <c r="AN23" s="54" t="s">
        <v>32</v>
      </c>
      <c r="AO23" s="54" t="s">
        <v>67</v>
      </c>
      <c r="AP23" s="54" t="s">
        <v>77</v>
      </c>
      <c r="AS23" s="3" t="s">
        <v>69</v>
      </c>
      <c r="AT23" s="2">
        <f>AT21*AT22</f>
        <v>4</v>
      </c>
      <c r="AU23" s="53">
        <f>AU20-AU21-AU22</f>
        <v>6.648148148148266</v>
      </c>
      <c r="AV23" s="53">
        <f t="shared" si="6"/>
        <v>1.6620370370370665</v>
      </c>
      <c r="AW23" s="53">
        <f>AV23/AV24</f>
        <v>1.2178874325366467</v>
      </c>
      <c r="AX23" s="53">
        <f>FINV(AX18,AT23,AT24)</f>
        <v>2.4752774088696223</v>
      </c>
      <c r="AY23" s="53">
        <f>FINV(AY18,AT23,AT24)</f>
        <v>3.5400845421240663</v>
      </c>
      <c r="AZ23" s="2" t="str">
        <f>IF(AW23&gt;AY23,"**",IF(AW23&gt;AX23,"*","TN"))</f>
        <v>TN</v>
      </c>
      <c r="BA23" s="2" t="str">
        <f t="shared" si="7"/>
        <v>Tidak Nyata</v>
      </c>
    </row>
    <row r="24" spans="1:53" ht="15.5" x14ac:dyDescent="0.3">
      <c r="A24" s="73"/>
      <c r="B24" s="75"/>
      <c r="C24" s="21" t="s">
        <v>13</v>
      </c>
      <c r="D24" s="27">
        <v>4</v>
      </c>
      <c r="E24" s="27">
        <v>5</v>
      </c>
      <c r="F24" s="27">
        <v>3</v>
      </c>
      <c r="G24" s="27">
        <v>4</v>
      </c>
      <c r="H24" s="27">
        <v>2</v>
      </c>
      <c r="I24" s="27">
        <v>5</v>
      </c>
      <c r="J24" s="27">
        <v>4</v>
      </c>
      <c r="K24" s="27">
        <v>6</v>
      </c>
      <c r="L24" s="27">
        <v>5</v>
      </c>
      <c r="M24" s="27">
        <v>6</v>
      </c>
      <c r="N24" s="27">
        <v>7</v>
      </c>
      <c r="O24" s="27">
        <v>5</v>
      </c>
      <c r="P24" s="22">
        <f t="shared" si="8"/>
        <v>56</v>
      </c>
      <c r="Q24" s="53">
        <f t="shared" si="9"/>
        <v>4.666666666666667</v>
      </c>
      <c r="S24" s="6" t="s">
        <v>50</v>
      </c>
      <c r="T24" s="51">
        <f>(SUMSQ(W22:Y22)/(12*3))-T21</f>
        <v>1.4074074074073906</v>
      </c>
      <c r="AA24" s="51"/>
      <c r="AC24" s="3" t="s">
        <v>33</v>
      </c>
      <c r="AD24" s="2">
        <f>(3*3*12)-1</f>
        <v>107</v>
      </c>
      <c r="AE24" s="53">
        <f>T22</f>
        <v>209.07407407407413</v>
      </c>
      <c r="AF24" s="53"/>
      <c r="AG24" s="53"/>
      <c r="AH24" s="53"/>
      <c r="AI24" s="53"/>
      <c r="AJ24" s="2"/>
      <c r="AK24" s="2"/>
      <c r="AM24" s="60" t="s">
        <v>16</v>
      </c>
      <c r="AN24" s="53">
        <v>2.25</v>
      </c>
      <c r="AO24" s="53" t="s">
        <v>93</v>
      </c>
      <c r="AP24" s="53">
        <f>AN24+$AN$21</f>
        <v>3.7540456222223271</v>
      </c>
      <c r="AS24" s="3" t="s">
        <v>70</v>
      </c>
      <c r="AT24" s="2">
        <f>AT25-AT19-AT20</f>
        <v>88</v>
      </c>
      <c r="AU24" s="53">
        <f>AU25-AU19-AU20</f>
        <v>120.09259259259238</v>
      </c>
      <c r="AV24" s="53">
        <f t="shared" si="6"/>
        <v>1.3646885521885499</v>
      </c>
      <c r="AW24" s="53"/>
      <c r="AX24" s="53"/>
      <c r="AY24" s="53"/>
      <c r="AZ24" s="2"/>
      <c r="BA24" s="2"/>
    </row>
    <row r="25" spans="1:53" ht="15.5" x14ac:dyDescent="0.3">
      <c r="A25" s="73"/>
      <c r="B25" s="75"/>
      <c r="C25" s="21" t="s">
        <v>14</v>
      </c>
      <c r="D25" s="27">
        <v>6</v>
      </c>
      <c r="E25" s="27">
        <v>1</v>
      </c>
      <c r="F25" s="27">
        <v>2</v>
      </c>
      <c r="G25" s="27">
        <v>4</v>
      </c>
      <c r="H25" s="27">
        <v>4</v>
      </c>
      <c r="I25" s="27">
        <v>3</v>
      </c>
      <c r="J25" s="27">
        <v>4</v>
      </c>
      <c r="K25" s="27">
        <v>5</v>
      </c>
      <c r="L25" s="27">
        <v>2</v>
      </c>
      <c r="M25" s="27">
        <v>5</v>
      </c>
      <c r="N25" s="27">
        <v>4</v>
      </c>
      <c r="O25" s="27">
        <v>5</v>
      </c>
      <c r="P25" s="22">
        <f t="shared" si="8"/>
        <v>45</v>
      </c>
      <c r="Q25" s="53">
        <f t="shared" si="9"/>
        <v>3.75</v>
      </c>
      <c r="S25" s="6" t="s">
        <v>49</v>
      </c>
      <c r="T25" s="51">
        <f>(SUMSQ(Z19:Z21)/(12*3))-T21</f>
        <v>63.185185185185219</v>
      </c>
      <c r="AA25" s="51"/>
      <c r="AE25" s="51"/>
      <c r="AF25" s="51"/>
      <c r="AG25" s="51"/>
      <c r="AH25" s="51"/>
      <c r="AI25" s="51"/>
      <c r="AM25" s="60" t="s">
        <v>15</v>
      </c>
      <c r="AN25" s="53">
        <v>2.3333333333333335</v>
      </c>
      <c r="AO25" s="53" t="s">
        <v>93</v>
      </c>
      <c r="AP25" s="53">
        <f t="shared" ref="AP25:AP32" si="10">AN25+$AN$21</f>
        <v>3.8373789555556606</v>
      </c>
      <c r="AS25" s="3" t="s">
        <v>33</v>
      </c>
      <c r="AT25" s="2">
        <f>(3*3*12)-1</f>
        <v>107</v>
      </c>
      <c r="AU25" s="53">
        <f>SUMSQ(D20:O28)-AT28</f>
        <v>209.07407407407413</v>
      </c>
      <c r="AV25" s="53"/>
      <c r="AW25" s="53"/>
      <c r="AX25" s="53"/>
      <c r="AY25" s="53"/>
      <c r="AZ25" s="2"/>
      <c r="BA25" s="2"/>
    </row>
    <row r="26" spans="1:53" ht="15.5" x14ac:dyDescent="0.3">
      <c r="A26" s="73"/>
      <c r="B26" s="75"/>
      <c r="C26" s="21" t="s">
        <v>15</v>
      </c>
      <c r="D26" s="26">
        <v>0</v>
      </c>
      <c r="E26" s="26">
        <v>2</v>
      </c>
      <c r="F26" s="26">
        <v>4</v>
      </c>
      <c r="G26" s="26">
        <v>3</v>
      </c>
      <c r="H26" s="26">
        <v>2</v>
      </c>
      <c r="I26" s="26">
        <v>4</v>
      </c>
      <c r="J26" s="26">
        <v>1</v>
      </c>
      <c r="K26" s="26">
        <v>2</v>
      </c>
      <c r="L26" s="26">
        <v>2</v>
      </c>
      <c r="M26" s="26">
        <v>3</v>
      </c>
      <c r="N26" s="26">
        <v>1</v>
      </c>
      <c r="O26" s="26">
        <v>4</v>
      </c>
      <c r="P26" s="22">
        <f t="shared" si="8"/>
        <v>28</v>
      </c>
      <c r="Q26" s="53">
        <f t="shared" si="9"/>
        <v>2.3333333333333335</v>
      </c>
      <c r="S26" s="6" t="s">
        <v>51</v>
      </c>
      <c r="T26" s="51">
        <f>(SUMSQ(W19:Y21)/(12))-T21-T24-T25</f>
        <v>6.648148148148266</v>
      </c>
      <c r="AA26" s="51"/>
      <c r="AE26" s="51"/>
      <c r="AF26" s="51"/>
      <c r="AG26" s="51"/>
      <c r="AH26" s="51"/>
      <c r="AI26" s="51"/>
      <c r="AM26" s="60" t="s">
        <v>9</v>
      </c>
      <c r="AN26" s="53">
        <v>2.4166666666666665</v>
      </c>
      <c r="AO26" s="53" t="s">
        <v>93</v>
      </c>
      <c r="AP26" s="53">
        <f t="shared" si="10"/>
        <v>3.9207122888889936</v>
      </c>
    </row>
    <row r="27" spans="1:53" ht="15.5" x14ac:dyDescent="0.3">
      <c r="A27" s="73"/>
      <c r="B27" s="75"/>
      <c r="C27" s="21" t="s">
        <v>16</v>
      </c>
      <c r="D27" s="26">
        <v>2</v>
      </c>
      <c r="E27" s="26">
        <v>1</v>
      </c>
      <c r="F27" s="26">
        <v>1</v>
      </c>
      <c r="G27" s="26">
        <v>3</v>
      </c>
      <c r="H27" s="26">
        <v>3</v>
      </c>
      <c r="I27" s="26">
        <v>4</v>
      </c>
      <c r="J27" s="26">
        <v>2</v>
      </c>
      <c r="K27" s="26">
        <v>2</v>
      </c>
      <c r="L27" s="26">
        <v>3</v>
      </c>
      <c r="M27" s="26">
        <v>3</v>
      </c>
      <c r="N27" s="26">
        <v>2</v>
      </c>
      <c r="O27" s="26">
        <v>1</v>
      </c>
      <c r="P27" s="22">
        <f t="shared" si="8"/>
        <v>27</v>
      </c>
      <c r="Q27" s="53">
        <f t="shared" si="9"/>
        <v>2.25</v>
      </c>
      <c r="S27" s="6" t="s">
        <v>52</v>
      </c>
      <c r="T27" s="51">
        <f>T22-T23-T24-T25-T26</f>
        <v>120.09259259259238</v>
      </c>
      <c r="AA27" s="51"/>
      <c r="AE27" s="51"/>
      <c r="AF27" s="51"/>
      <c r="AG27" s="51"/>
      <c r="AH27" s="51"/>
      <c r="AI27" s="51"/>
      <c r="AM27" s="60" t="s">
        <v>10</v>
      </c>
      <c r="AN27" s="53">
        <v>2.75</v>
      </c>
      <c r="AO27" s="53" t="s">
        <v>99</v>
      </c>
      <c r="AP27" s="53">
        <f t="shared" si="10"/>
        <v>4.2540456222223266</v>
      </c>
    </row>
    <row r="28" spans="1:53" ht="15.5" x14ac:dyDescent="0.3">
      <c r="A28" s="73"/>
      <c r="B28" s="75"/>
      <c r="C28" s="21" t="s">
        <v>17</v>
      </c>
      <c r="D28" s="26">
        <v>3</v>
      </c>
      <c r="E28" s="26">
        <v>4</v>
      </c>
      <c r="F28" s="26">
        <v>3</v>
      </c>
      <c r="G28" s="26">
        <v>2</v>
      </c>
      <c r="H28" s="26">
        <v>1</v>
      </c>
      <c r="I28" s="26">
        <v>3</v>
      </c>
      <c r="J28" s="26">
        <v>3</v>
      </c>
      <c r="K28" s="26">
        <v>3</v>
      </c>
      <c r="L28" s="26">
        <v>3</v>
      </c>
      <c r="M28" s="26">
        <v>4</v>
      </c>
      <c r="N28" s="26">
        <v>2</v>
      </c>
      <c r="O28" s="26">
        <v>2</v>
      </c>
      <c r="P28" s="22">
        <f t="shared" si="8"/>
        <v>33</v>
      </c>
      <c r="Q28" s="53">
        <f t="shared" si="9"/>
        <v>2.75</v>
      </c>
      <c r="AA28" s="51"/>
      <c r="AE28" s="51"/>
      <c r="AF28" s="51"/>
      <c r="AG28" s="51"/>
      <c r="AH28" s="51"/>
      <c r="AI28" s="51"/>
      <c r="AM28" s="60" t="s">
        <v>17</v>
      </c>
      <c r="AN28" s="53">
        <v>2.75</v>
      </c>
      <c r="AO28" s="53" t="s">
        <v>99</v>
      </c>
      <c r="AP28" s="53">
        <f t="shared" si="10"/>
        <v>4.2540456222223266</v>
      </c>
      <c r="AS28" s="2" t="s">
        <v>46</v>
      </c>
      <c r="AT28" s="53">
        <f>P29^2/(3*3*12)</f>
        <v>1032.9259259259259</v>
      </c>
    </row>
    <row r="29" spans="1:53" x14ac:dyDescent="0.3">
      <c r="A29" s="73"/>
      <c r="B29" s="75"/>
      <c r="C29" s="20" t="s">
        <v>33</v>
      </c>
      <c r="D29" s="23">
        <f>SUM(D20:D28)</f>
        <v>26</v>
      </c>
      <c r="E29" s="23">
        <f t="shared" ref="E29:O29" si="11">SUM(E20:E28)</f>
        <v>26</v>
      </c>
      <c r="F29" s="23">
        <f t="shared" si="11"/>
        <v>21</v>
      </c>
      <c r="G29" s="23">
        <f t="shared" si="11"/>
        <v>29</v>
      </c>
      <c r="H29" s="23">
        <f t="shared" si="11"/>
        <v>24</v>
      </c>
      <c r="I29" s="23">
        <f t="shared" si="11"/>
        <v>31</v>
      </c>
      <c r="J29" s="23">
        <f t="shared" si="11"/>
        <v>28</v>
      </c>
      <c r="K29" s="23">
        <f t="shared" si="11"/>
        <v>28</v>
      </c>
      <c r="L29" s="23">
        <f t="shared" si="11"/>
        <v>31</v>
      </c>
      <c r="M29" s="23">
        <f t="shared" si="11"/>
        <v>36</v>
      </c>
      <c r="N29" s="23">
        <f t="shared" si="11"/>
        <v>26</v>
      </c>
      <c r="O29" s="23">
        <f t="shared" si="11"/>
        <v>28</v>
      </c>
      <c r="P29" s="22">
        <f t="shared" si="8"/>
        <v>334</v>
      </c>
      <c r="Q29" s="53"/>
      <c r="AA29" s="51"/>
      <c r="AE29" s="51"/>
      <c r="AF29" s="51"/>
      <c r="AG29" s="51"/>
      <c r="AH29" s="51"/>
      <c r="AI29" s="51"/>
      <c r="AM29" s="60" t="s">
        <v>11</v>
      </c>
      <c r="AN29" s="53">
        <v>2.8333333333333335</v>
      </c>
      <c r="AO29" s="53" t="s">
        <v>99</v>
      </c>
      <c r="AP29" s="53">
        <f t="shared" si="10"/>
        <v>4.3373789555556606</v>
      </c>
    </row>
    <row r="30" spans="1:53" x14ac:dyDescent="0.3">
      <c r="A30" s="66"/>
      <c r="B30" s="76"/>
      <c r="C30" s="20" t="s">
        <v>32</v>
      </c>
      <c r="D30" s="53">
        <f>AVERAGE(D20:D28)</f>
        <v>2.8888888888888888</v>
      </c>
      <c r="E30" s="53">
        <f t="shared" ref="E30:O30" si="12">AVERAGE(E20:E28)</f>
        <v>2.8888888888888888</v>
      </c>
      <c r="F30" s="53">
        <f t="shared" si="12"/>
        <v>2.3333333333333335</v>
      </c>
      <c r="G30" s="53">
        <f t="shared" si="12"/>
        <v>3.2222222222222223</v>
      </c>
      <c r="H30" s="53">
        <f t="shared" si="12"/>
        <v>2.6666666666666665</v>
      </c>
      <c r="I30" s="53">
        <f t="shared" si="12"/>
        <v>3.4444444444444446</v>
      </c>
      <c r="J30" s="53">
        <f t="shared" si="12"/>
        <v>3.1111111111111112</v>
      </c>
      <c r="K30" s="53">
        <f t="shared" si="12"/>
        <v>3.1111111111111112</v>
      </c>
      <c r="L30" s="53">
        <f t="shared" si="12"/>
        <v>3.4444444444444446</v>
      </c>
      <c r="M30" s="53">
        <f t="shared" si="12"/>
        <v>4</v>
      </c>
      <c r="N30" s="53">
        <f t="shared" si="12"/>
        <v>2.8888888888888888</v>
      </c>
      <c r="O30" s="53">
        <f t="shared" si="12"/>
        <v>3.1111111111111112</v>
      </c>
      <c r="P30" s="2"/>
      <c r="Q30" s="53"/>
      <c r="AA30" s="51"/>
      <c r="AE30" s="51"/>
      <c r="AF30" s="51"/>
      <c r="AG30" s="51"/>
      <c r="AH30" s="51"/>
      <c r="AI30" s="51"/>
      <c r="AM30" s="60" t="s">
        <v>14</v>
      </c>
      <c r="AN30" s="53">
        <v>3.75</v>
      </c>
      <c r="AO30" s="53" t="s">
        <v>100</v>
      </c>
      <c r="AP30" s="53">
        <f t="shared" si="10"/>
        <v>5.2540456222223266</v>
      </c>
    </row>
    <row r="31" spans="1:53" x14ac:dyDescent="0.3">
      <c r="Q31" s="51"/>
      <c r="AA31" s="51"/>
      <c r="AE31" s="51"/>
      <c r="AF31" s="51"/>
      <c r="AG31" s="51"/>
      <c r="AH31" s="51"/>
      <c r="AI31" s="51"/>
      <c r="AM31" s="60" t="s">
        <v>12</v>
      </c>
      <c r="AN31" s="53">
        <v>4.083333333333333</v>
      </c>
      <c r="AO31" s="53" t="s">
        <v>101</v>
      </c>
      <c r="AP31" s="53">
        <f t="shared" si="10"/>
        <v>5.5873789555556606</v>
      </c>
      <c r="AS31" s="6" t="s">
        <v>97</v>
      </c>
    </row>
    <row r="32" spans="1:53" x14ac:dyDescent="0.3">
      <c r="A32" s="3" t="s">
        <v>18</v>
      </c>
      <c r="B32" s="3" t="s">
        <v>20</v>
      </c>
      <c r="C32" s="87" t="s">
        <v>0</v>
      </c>
      <c r="D32" s="69" t="s">
        <v>1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5" t="s">
        <v>33</v>
      </c>
      <c r="Q32" s="67" t="s">
        <v>32</v>
      </c>
      <c r="V32" s="65" t="s">
        <v>53</v>
      </c>
      <c r="W32" s="70" t="s">
        <v>54</v>
      </c>
      <c r="X32" s="71"/>
      <c r="Y32" s="72"/>
      <c r="Z32" s="65" t="s">
        <v>33</v>
      </c>
      <c r="AA32" s="67" t="s">
        <v>32</v>
      </c>
      <c r="AC32" s="65" t="s">
        <v>61</v>
      </c>
      <c r="AD32" s="65" t="s">
        <v>62</v>
      </c>
      <c r="AE32" s="67" t="s">
        <v>63</v>
      </c>
      <c r="AF32" s="67" t="s">
        <v>64</v>
      </c>
      <c r="AG32" s="67" t="s">
        <v>65</v>
      </c>
      <c r="AH32" s="64" t="s">
        <v>66</v>
      </c>
      <c r="AI32" s="64"/>
      <c r="AJ32" s="65" t="s">
        <v>67</v>
      </c>
      <c r="AK32" s="65" t="s">
        <v>68</v>
      </c>
      <c r="AM32" s="60" t="s">
        <v>13</v>
      </c>
      <c r="AN32" s="53">
        <v>4.666666666666667</v>
      </c>
      <c r="AO32" s="53" t="s">
        <v>102</v>
      </c>
      <c r="AP32" s="53">
        <f t="shared" si="10"/>
        <v>6.1707122888889945</v>
      </c>
      <c r="AS32" s="65" t="s">
        <v>61</v>
      </c>
      <c r="AT32" s="65" t="s">
        <v>62</v>
      </c>
      <c r="AU32" s="65" t="s">
        <v>63</v>
      </c>
      <c r="AV32" s="65" t="s">
        <v>64</v>
      </c>
      <c r="AW32" s="65" t="s">
        <v>65</v>
      </c>
      <c r="AX32" s="69" t="s">
        <v>66</v>
      </c>
      <c r="AY32" s="69"/>
      <c r="AZ32" s="65" t="s">
        <v>67</v>
      </c>
      <c r="BA32" s="65" t="s">
        <v>68</v>
      </c>
    </row>
    <row r="33" spans="1:53" x14ac:dyDescent="0.3">
      <c r="A33" s="65">
        <v>3</v>
      </c>
      <c r="B33" s="74" t="s">
        <v>38</v>
      </c>
      <c r="C33" s="87"/>
      <c r="D33" s="69" t="s">
        <v>2</v>
      </c>
      <c r="E33" s="69"/>
      <c r="F33" s="69"/>
      <c r="G33" s="69"/>
      <c r="H33" s="69" t="s">
        <v>7</v>
      </c>
      <c r="I33" s="69"/>
      <c r="J33" s="69"/>
      <c r="K33" s="69"/>
      <c r="L33" s="69" t="s">
        <v>8</v>
      </c>
      <c r="M33" s="69"/>
      <c r="N33" s="69"/>
      <c r="O33" s="69"/>
      <c r="P33" s="73"/>
      <c r="Q33" s="77"/>
      <c r="S33" s="6" t="s">
        <v>71</v>
      </c>
      <c r="T33" s="6">
        <v>12</v>
      </c>
      <c r="V33" s="66"/>
      <c r="W33" s="3" t="s">
        <v>55</v>
      </c>
      <c r="X33" s="3" t="s">
        <v>56</v>
      </c>
      <c r="Y33" s="3" t="s">
        <v>57</v>
      </c>
      <c r="Z33" s="66"/>
      <c r="AA33" s="68"/>
      <c r="AC33" s="66"/>
      <c r="AD33" s="66"/>
      <c r="AE33" s="68"/>
      <c r="AF33" s="68"/>
      <c r="AG33" s="68"/>
      <c r="AH33" s="59">
        <v>0.05</v>
      </c>
      <c r="AI33" s="59">
        <v>0.01</v>
      </c>
      <c r="AJ33" s="66"/>
      <c r="AK33" s="66"/>
      <c r="AM33" s="51"/>
      <c r="AN33" s="51"/>
      <c r="AO33" s="51"/>
      <c r="AP33" s="51"/>
      <c r="AS33" s="66"/>
      <c r="AT33" s="66"/>
      <c r="AU33" s="66"/>
      <c r="AV33" s="66"/>
      <c r="AW33" s="66"/>
      <c r="AX33" s="42">
        <v>0.05</v>
      </c>
      <c r="AY33" s="42">
        <v>0.01</v>
      </c>
      <c r="AZ33" s="66"/>
      <c r="BA33" s="66"/>
    </row>
    <row r="34" spans="1:53" x14ac:dyDescent="0.3">
      <c r="A34" s="73"/>
      <c r="B34" s="75"/>
      <c r="C34" s="87"/>
      <c r="D34" s="18" t="s">
        <v>3</v>
      </c>
      <c r="E34" s="18" t="s">
        <v>4</v>
      </c>
      <c r="F34" s="18" t="s">
        <v>5</v>
      </c>
      <c r="G34" s="18" t="s">
        <v>6</v>
      </c>
      <c r="H34" s="18" t="s">
        <v>3</v>
      </c>
      <c r="I34" s="18" t="s">
        <v>4</v>
      </c>
      <c r="J34" s="18" t="s">
        <v>5</v>
      </c>
      <c r="K34" s="18" t="s">
        <v>6</v>
      </c>
      <c r="L34" s="18" t="s">
        <v>3</v>
      </c>
      <c r="M34" s="18" t="s">
        <v>4</v>
      </c>
      <c r="N34" s="18" t="s">
        <v>5</v>
      </c>
      <c r="O34" s="18" t="s">
        <v>6</v>
      </c>
      <c r="P34" s="66"/>
      <c r="Q34" s="68"/>
      <c r="S34" s="6" t="s">
        <v>44</v>
      </c>
      <c r="T34" s="6">
        <v>3</v>
      </c>
      <c r="V34" s="3" t="s">
        <v>58</v>
      </c>
      <c r="W34" s="2">
        <f>SUM(D35:O35)</f>
        <v>18</v>
      </c>
      <c r="X34" s="2">
        <f>SUM(D36:O36)</f>
        <v>31</v>
      </c>
      <c r="Y34" s="2">
        <f>SUM(D37:O37)</f>
        <v>39</v>
      </c>
      <c r="Z34" s="2">
        <f>SUM(W34:Y34)</f>
        <v>88</v>
      </c>
      <c r="AA34" s="53">
        <f>AVERAGE(W34:Y34)</f>
        <v>29.333333333333332</v>
      </c>
      <c r="AC34" s="3" t="s">
        <v>43</v>
      </c>
      <c r="AD34" s="2">
        <f>12-1</f>
        <v>11</v>
      </c>
      <c r="AE34" s="53">
        <f>T38</f>
        <v>21.296296296296305</v>
      </c>
      <c r="AF34" s="53">
        <f>AE34/AD34</f>
        <v>1.9360269360269369</v>
      </c>
      <c r="AG34" s="53">
        <f>AF34/AF38</f>
        <v>1.1828233479043468</v>
      </c>
      <c r="AH34" s="53">
        <f>FINV(AH33,AD34,AD38)</f>
        <v>1.8991710184693407</v>
      </c>
      <c r="AI34" s="53">
        <f>FINV(AI33,AD34,AD38)</f>
        <v>2.4560580535880434</v>
      </c>
      <c r="AJ34" s="30" t="s">
        <v>95</v>
      </c>
      <c r="AK34" s="2"/>
      <c r="AM34" s="80" t="s">
        <v>80</v>
      </c>
      <c r="AN34" s="80"/>
      <c r="AO34" s="51"/>
      <c r="AP34" s="51"/>
      <c r="AS34" s="3" t="s">
        <v>43</v>
      </c>
      <c r="AT34" s="2">
        <f>12-1</f>
        <v>11</v>
      </c>
      <c r="AU34" s="6">
        <f>SUMSQ(D44:O44)/(3*3)-AT43</f>
        <v>21.296296296296305</v>
      </c>
      <c r="AV34" s="53">
        <f>AU34/AT34</f>
        <v>1.9360269360269369</v>
      </c>
      <c r="AW34" s="53">
        <f>AV34/AV39</f>
        <v>1.1828233479043468</v>
      </c>
      <c r="AX34" s="53">
        <f>FINV(AX33,AT34,AT39)</f>
        <v>1.8991710184693407</v>
      </c>
      <c r="AY34" s="53">
        <f>FINV(AY33,AT34,AT39)</f>
        <v>2.4560580535880434</v>
      </c>
      <c r="AZ34" s="2" t="str">
        <f>IF(AW34&gt;AY34,"**",IF(AW34&gt;AX34,"*","TN"))</f>
        <v>TN</v>
      </c>
      <c r="BA34" s="2" t="str">
        <f>IF(AZ34="TN","Tidak Nyata",IF(AZ34="*","Nyata",IF(AZ34="**","Sangat Nyata",0)))</f>
        <v>Tidak Nyata</v>
      </c>
    </row>
    <row r="35" spans="1:53" ht="15.5" x14ac:dyDescent="0.3">
      <c r="A35" s="73"/>
      <c r="B35" s="75"/>
      <c r="C35" s="21" t="s">
        <v>9</v>
      </c>
      <c r="D35" s="26">
        <v>1</v>
      </c>
      <c r="E35" s="26">
        <v>0</v>
      </c>
      <c r="F35" s="26">
        <v>2</v>
      </c>
      <c r="G35" s="26">
        <v>3</v>
      </c>
      <c r="H35" s="26">
        <v>0</v>
      </c>
      <c r="I35" s="26">
        <v>2</v>
      </c>
      <c r="J35" s="26">
        <v>2</v>
      </c>
      <c r="K35" s="26">
        <v>1</v>
      </c>
      <c r="L35" s="26">
        <v>2</v>
      </c>
      <c r="M35" s="26">
        <v>1</v>
      </c>
      <c r="N35" s="26">
        <v>2</v>
      </c>
      <c r="O35" s="26">
        <v>2</v>
      </c>
      <c r="P35" s="22">
        <f>SUM(D35:O35)</f>
        <v>18</v>
      </c>
      <c r="Q35" s="53">
        <f>AVERAGE(D35:O35)</f>
        <v>1.5</v>
      </c>
      <c r="S35" s="6" t="s">
        <v>45</v>
      </c>
      <c r="T35" s="6">
        <v>3</v>
      </c>
      <c r="V35" s="3" t="s">
        <v>59</v>
      </c>
      <c r="W35" s="2">
        <f>SUM(D38:O38)</f>
        <v>68</v>
      </c>
      <c r="X35" s="2">
        <f>SUM(D39:O39)</f>
        <v>76</v>
      </c>
      <c r="Y35" s="2">
        <f>SUM(D40:O40)</f>
        <v>66</v>
      </c>
      <c r="Z35" s="2">
        <f>SUM(W35:Y35)</f>
        <v>210</v>
      </c>
      <c r="AA35" s="53">
        <f>AVERAGE(W35:Y35)</f>
        <v>70</v>
      </c>
      <c r="AC35" s="3" t="s">
        <v>45</v>
      </c>
      <c r="AD35" s="2">
        <f>3-1</f>
        <v>2</v>
      </c>
      <c r="AE35" s="53">
        <f>T39</f>
        <v>6.7962962962963047</v>
      </c>
      <c r="AF35" s="53">
        <f>AE35/AD35</f>
        <v>3.3981481481481524</v>
      </c>
      <c r="AG35" s="53">
        <f>AF35/AF38</f>
        <v>2.0761121110825442</v>
      </c>
      <c r="AH35" s="53">
        <f>FINV(AH33,AD35,AD38)</f>
        <v>3.1000686386371408</v>
      </c>
      <c r="AI35" s="53">
        <f>FINV(AI33,AD35,AD38)</f>
        <v>4.8547979993760721</v>
      </c>
      <c r="AJ35" s="30" t="s">
        <v>95</v>
      </c>
      <c r="AK35" s="2"/>
      <c r="AM35" s="54" t="s">
        <v>74</v>
      </c>
      <c r="AN35" s="54">
        <f>SQRT(AF38/12)</f>
        <v>0.36932195888597785</v>
      </c>
      <c r="AO35" s="56"/>
      <c r="AP35" s="55" t="s">
        <v>86</v>
      </c>
      <c r="AS35" s="3" t="s">
        <v>98</v>
      </c>
      <c r="AT35" s="2">
        <f>3*3-1</f>
        <v>8</v>
      </c>
      <c r="AU35" s="53">
        <f>SUMSQ(P35:P43)/12-AT43</f>
        <v>369.2962962962963</v>
      </c>
      <c r="AV35" s="53">
        <f t="shared" ref="AV35:AV39" si="13">AU35/AT35</f>
        <v>46.162037037037038</v>
      </c>
      <c r="AW35" s="53">
        <f>AV35/AV39</f>
        <v>28.202879917716654</v>
      </c>
      <c r="AX35" s="53">
        <f>FINV(AX33,AT35,AT39)</f>
        <v>2.0454143150341193</v>
      </c>
      <c r="AY35" s="53">
        <f>FINV(AY33,AT35,AT39)</f>
        <v>2.720181875728696</v>
      </c>
      <c r="AZ35" s="2" t="str">
        <f>IF(AW35&gt;AY35,"**",IF(AW35&gt;AX35,"*","TN"))</f>
        <v>**</v>
      </c>
      <c r="BA35" s="2" t="str">
        <f t="shared" ref="BA35:BA38" si="14">IF(AZ35="TN","Tidak Nyata",IF(AZ35="*","Nyata",IF(AZ35="**","Sangat Nyata",0)))</f>
        <v>Sangat Nyata</v>
      </c>
    </row>
    <row r="36" spans="1:53" ht="15.5" x14ac:dyDescent="0.3">
      <c r="A36" s="73"/>
      <c r="B36" s="75"/>
      <c r="C36" s="21" t="s">
        <v>10</v>
      </c>
      <c r="D36" s="26">
        <v>2</v>
      </c>
      <c r="E36" s="26">
        <v>3</v>
      </c>
      <c r="F36" s="26">
        <v>4</v>
      </c>
      <c r="G36" s="26">
        <v>2</v>
      </c>
      <c r="H36" s="26">
        <v>3</v>
      </c>
      <c r="I36" s="26">
        <v>2</v>
      </c>
      <c r="J36" s="26">
        <v>3</v>
      </c>
      <c r="K36" s="26">
        <v>5</v>
      </c>
      <c r="L36" s="26">
        <v>3</v>
      </c>
      <c r="M36" s="26">
        <v>2</v>
      </c>
      <c r="N36" s="26">
        <v>0</v>
      </c>
      <c r="O36" s="26">
        <v>2</v>
      </c>
      <c r="P36" s="22">
        <f t="shared" ref="P36:P44" si="15">SUM(D36:O36)</f>
        <v>31</v>
      </c>
      <c r="Q36" s="53">
        <f t="shared" ref="Q36:Q43" si="16">AVERAGE(D36:O36)</f>
        <v>2.5833333333333335</v>
      </c>
      <c r="S36" s="6" t="s">
        <v>46</v>
      </c>
      <c r="T36" s="51">
        <f>(P44^2)/(12*3*3)</f>
        <v>1213.3703703703704</v>
      </c>
      <c r="V36" s="3" t="s">
        <v>60</v>
      </c>
      <c r="W36" s="2">
        <f>SUM(D41:O41)</f>
        <v>23</v>
      </c>
      <c r="X36" s="2">
        <f>SUM(D42:O42)</f>
        <v>15</v>
      </c>
      <c r="Y36" s="2">
        <f>SUM(D43:O43)</f>
        <v>26</v>
      </c>
      <c r="Z36" s="2">
        <f>SUM(W36:Y36)</f>
        <v>64</v>
      </c>
      <c r="AA36" s="53">
        <f>AVERAGE(W36:Y36)</f>
        <v>21.333333333333332</v>
      </c>
      <c r="AC36" s="3" t="s">
        <v>44</v>
      </c>
      <c r="AD36" s="2">
        <f>3-1</f>
        <v>2</v>
      </c>
      <c r="AE36" s="53">
        <f>T40</f>
        <v>340.51851851851848</v>
      </c>
      <c r="AF36" s="53">
        <f>AE36/AD36</f>
        <v>170.25925925925924</v>
      </c>
      <c r="AG36" s="53">
        <f>AF36/AF38</f>
        <v>104.02057084083317</v>
      </c>
      <c r="AH36" s="53">
        <f>FINV(AH33,AD36,AD38)</f>
        <v>3.1000686386371408</v>
      </c>
      <c r="AI36" s="53">
        <f>FINV(AI33,AD36,AD38)</f>
        <v>4.8547979993760721</v>
      </c>
      <c r="AJ36" s="30" t="s">
        <v>72</v>
      </c>
      <c r="AK36" s="2"/>
      <c r="AM36" s="53" t="s">
        <v>75</v>
      </c>
      <c r="AN36" s="54">
        <v>4.46</v>
      </c>
      <c r="AO36" s="51"/>
      <c r="AP36" s="51"/>
      <c r="AS36" s="3" t="s">
        <v>45</v>
      </c>
      <c r="AT36" s="2">
        <f>3-1</f>
        <v>2</v>
      </c>
      <c r="AU36" s="53">
        <f>SUMSQ(W37:Y37)/(3*12)-AT43</f>
        <v>6.7962962962963047</v>
      </c>
      <c r="AV36" s="53">
        <f t="shared" si="13"/>
        <v>3.3981481481481524</v>
      </c>
      <c r="AW36" s="53">
        <f>AV36/AV39</f>
        <v>2.0761121110825442</v>
      </c>
      <c r="AX36" s="53">
        <f>FINV(AX33,AT36,AT39)</f>
        <v>3.1000686386371408</v>
      </c>
      <c r="AY36" s="53">
        <f>FINV(AY33,AT36,AT39)</f>
        <v>4.8547979993760721</v>
      </c>
      <c r="AZ36" s="2" t="str">
        <f>IF(AW36&gt;AY36,"**",IF(AW36&gt;AX36,"*","TN"))</f>
        <v>TN</v>
      </c>
      <c r="BA36" s="2" t="str">
        <f t="shared" si="14"/>
        <v>Tidak Nyata</v>
      </c>
    </row>
    <row r="37" spans="1:53" ht="15.5" x14ac:dyDescent="0.3">
      <c r="A37" s="73"/>
      <c r="B37" s="75"/>
      <c r="C37" s="21" t="s">
        <v>11</v>
      </c>
      <c r="D37" s="26">
        <v>3</v>
      </c>
      <c r="E37" s="26">
        <v>4</v>
      </c>
      <c r="F37" s="26">
        <v>5</v>
      </c>
      <c r="G37" s="26">
        <v>2</v>
      </c>
      <c r="H37" s="26">
        <v>3</v>
      </c>
      <c r="I37" s="26">
        <v>6</v>
      </c>
      <c r="J37" s="26">
        <v>3</v>
      </c>
      <c r="K37" s="26">
        <v>2</v>
      </c>
      <c r="L37" s="26">
        <v>4</v>
      </c>
      <c r="M37" s="26">
        <v>3</v>
      </c>
      <c r="N37" s="26">
        <v>2</v>
      </c>
      <c r="O37" s="26">
        <v>2</v>
      </c>
      <c r="P37" s="22">
        <f t="shared" si="15"/>
        <v>39</v>
      </c>
      <c r="Q37" s="53">
        <f t="shared" si="16"/>
        <v>3.25</v>
      </c>
      <c r="S37" s="6" t="s">
        <v>47</v>
      </c>
      <c r="T37" s="51">
        <f>SUMSQ(D35:O43)-T36</f>
        <v>534.62962962962956</v>
      </c>
      <c r="V37" s="3" t="s">
        <v>33</v>
      </c>
      <c r="W37" s="2">
        <f>SUM(W34:W36)</f>
        <v>109</v>
      </c>
      <c r="X37" s="2">
        <f>SUM(X34:X36)</f>
        <v>122</v>
      </c>
      <c r="Y37" s="2">
        <f>SUM(Y34:Y36)</f>
        <v>131</v>
      </c>
      <c r="Z37" s="2">
        <f>SUM(W37:Y37)</f>
        <v>362</v>
      </c>
      <c r="AA37" s="53">
        <f>AVERAGE(W37:Y37)</f>
        <v>120.66666666666667</v>
      </c>
      <c r="AC37" s="3" t="s">
        <v>69</v>
      </c>
      <c r="AD37" s="2">
        <f>(3-1)*(3-1)</f>
        <v>4</v>
      </c>
      <c r="AE37" s="53">
        <f>T41</f>
        <v>21.981481481481524</v>
      </c>
      <c r="AF37" s="53">
        <f>AE37/AD37</f>
        <v>5.4953703703703809</v>
      </c>
      <c r="AG37" s="53">
        <f>AF37/AF38</f>
        <v>3.3574183594754521</v>
      </c>
      <c r="AH37" s="53">
        <f>FINV(AH33,AD37,AD38)</f>
        <v>2.4752774088696223</v>
      </c>
      <c r="AI37" s="53">
        <f>FINV(AI33,AD37,AD38)</f>
        <v>3.5400845421240663</v>
      </c>
      <c r="AJ37" s="30" t="s">
        <v>72</v>
      </c>
      <c r="AK37" s="2"/>
      <c r="AM37" s="53" t="s">
        <v>76</v>
      </c>
      <c r="AN37" s="54">
        <f>AN36*AN35</f>
        <v>1.6471759366314611</v>
      </c>
      <c r="AO37" s="51"/>
      <c r="AP37" s="51"/>
      <c r="AS37" s="3" t="s">
        <v>44</v>
      </c>
      <c r="AT37" s="2">
        <f>3-1</f>
        <v>2</v>
      </c>
      <c r="AU37" s="53">
        <f>SUMSQ(Z34:Z36)/(3*12)-AT43</f>
        <v>340.51851851851848</v>
      </c>
      <c r="AV37" s="53">
        <f t="shared" si="13"/>
        <v>170.25925925925924</v>
      </c>
      <c r="AW37" s="53">
        <f>AV37/AV39</f>
        <v>104.02057084083317</v>
      </c>
      <c r="AX37" s="53">
        <f>FINV(AX33,AT37,AT39)</f>
        <v>3.1000686386371408</v>
      </c>
      <c r="AY37" s="53">
        <f>FINV(AY33,AT37,AT39)</f>
        <v>4.8547979993760721</v>
      </c>
      <c r="AZ37" s="2" t="str">
        <f>IF(AW37&gt;AY37,"**",IF(AW37&gt;AX37,"*","TN"))</f>
        <v>**</v>
      </c>
      <c r="BA37" s="2" t="str">
        <f t="shared" si="14"/>
        <v>Sangat Nyata</v>
      </c>
    </row>
    <row r="38" spans="1:53" ht="15.5" x14ac:dyDescent="0.3">
      <c r="A38" s="73"/>
      <c r="B38" s="75"/>
      <c r="C38" s="21" t="s">
        <v>12</v>
      </c>
      <c r="D38" s="27">
        <v>4</v>
      </c>
      <c r="E38" s="27">
        <v>5</v>
      </c>
      <c r="F38" s="27">
        <v>3</v>
      </c>
      <c r="G38" s="27">
        <v>7</v>
      </c>
      <c r="H38" s="27">
        <v>4</v>
      </c>
      <c r="I38" s="27">
        <v>5</v>
      </c>
      <c r="J38" s="27">
        <v>6</v>
      </c>
      <c r="K38" s="27">
        <v>7</v>
      </c>
      <c r="L38" s="27">
        <v>7</v>
      </c>
      <c r="M38" s="27">
        <v>5</v>
      </c>
      <c r="N38" s="27">
        <v>8</v>
      </c>
      <c r="O38" s="27">
        <v>7</v>
      </c>
      <c r="P38" s="22">
        <f t="shared" si="15"/>
        <v>68</v>
      </c>
      <c r="Q38" s="53">
        <f t="shared" si="16"/>
        <v>5.666666666666667</v>
      </c>
      <c r="S38" s="6" t="s">
        <v>48</v>
      </c>
      <c r="T38" s="51">
        <f>(SUMSQ(D44:O44)/(3*3))-T36</f>
        <v>21.296296296296305</v>
      </c>
      <c r="V38" s="3" t="s">
        <v>32</v>
      </c>
      <c r="W38" s="53">
        <f>AVERAGE(W34:W36)</f>
        <v>36.333333333333336</v>
      </c>
      <c r="X38" s="53">
        <f>AVERAGE(X34:X36)</f>
        <v>40.666666666666664</v>
      </c>
      <c r="Y38" s="53">
        <f>AVERAGE(Y34:Y36)</f>
        <v>43.666666666666664</v>
      </c>
      <c r="Z38" s="2"/>
      <c r="AA38" s="53"/>
      <c r="AC38" s="3" t="s">
        <v>70</v>
      </c>
      <c r="AD38" s="2">
        <f>((3*3)-1)*(12-1)</f>
        <v>88</v>
      </c>
      <c r="AE38" s="53">
        <f>T42</f>
        <v>144.03703703703695</v>
      </c>
      <c r="AF38" s="53">
        <f>AE38/AD38</f>
        <v>1.6367845117845108</v>
      </c>
      <c r="AG38" s="53"/>
      <c r="AH38" s="53"/>
      <c r="AI38" s="53"/>
      <c r="AJ38" s="2"/>
      <c r="AK38" s="2"/>
      <c r="AM38" s="51"/>
      <c r="AN38" s="51"/>
      <c r="AO38" s="51"/>
      <c r="AP38" s="51"/>
      <c r="AS38" s="3" t="s">
        <v>69</v>
      </c>
      <c r="AT38" s="2">
        <f>AT36*AT37</f>
        <v>4</v>
      </c>
      <c r="AU38" s="53">
        <f>AU35-AU36-AU37</f>
        <v>21.981481481481524</v>
      </c>
      <c r="AV38" s="53">
        <f t="shared" si="13"/>
        <v>5.4953703703703809</v>
      </c>
      <c r="AW38" s="53">
        <f>AV38/AV39</f>
        <v>3.3574183594754521</v>
      </c>
      <c r="AX38" s="53">
        <f>FINV(AX33,AT38,AT39)</f>
        <v>2.4752774088696223</v>
      </c>
      <c r="AY38" s="53">
        <f>FINV(AY33,AT38,AT39)</f>
        <v>3.5400845421240663</v>
      </c>
      <c r="AZ38" s="2" t="str">
        <f>IF(AW38&gt;AY38,"**",IF(AW38&gt;AX38,"*","TN"))</f>
        <v>*</v>
      </c>
      <c r="BA38" s="2" t="str">
        <f t="shared" si="14"/>
        <v>Nyata</v>
      </c>
    </row>
    <row r="39" spans="1:53" ht="15.5" x14ac:dyDescent="0.3">
      <c r="A39" s="73"/>
      <c r="B39" s="75"/>
      <c r="C39" s="21" t="s">
        <v>13</v>
      </c>
      <c r="D39" s="27">
        <v>5</v>
      </c>
      <c r="E39" s="27">
        <v>6</v>
      </c>
      <c r="F39" s="27">
        <v>6</v>
      </c>
      <c r="G39" s="27">
        <v>5</v>
      </c>
      <c r="H39" s="27">
        <v>3</v>
      </c>
      <c r="I39" s="27">
        <v>7</v>
      </c>
      <c r="J39" s="27">
        <v>5</v>
      </c>
      <c r="K39" s="27">
        <v>8</v>
      </c>
      <c r="L39" s="27">
        <v>6</v>
      </c>
      <c r="M39" s="27">
        <v>8</v>
      </c>
      <c r="N39" s="27">
        <v>9</v>
      </c>
      <c r="O39" s="27">
        <v>8</v>
      </c>
      <c r="P39" s="22">
        <f t="shared" si="15"/>
        <v>76</v>
      </c>
      <c r="Q39" s="53">
        <f t="shared" si="16"/>
        <v>6.333333333333333</v>
      </c>
      <c r="S39" s="6" t="s">
        <v>50</v>
      </c>
      <c r="T39" s="51">
        <f>(SUMSQ(W37:Y37)/(12*3))-T36</f>
        <v>6.7962962962963047</v>
      </c>
      <c r="AA39" s="51"/>
      <c r="AC39" s="3" t="s">
        <v>33</v>
      </c>
      <c r="AD39" s="2">
        <f>(3*3*12)-1</f>
        <v>107</v>
      </c>
      <c r="AE39" s="53">
        <f>T37</f>
        <v>534.62962962962956</v>
      </c>
      <c r="AF39" s="53"/>
      <c r="AG39" s="53"/>
      <c r="AH39" s="53"/>
      <c r="AI39" s="53"/>
      <c r="AJ39" s="2"/>
      <c r="AK39" s="2"/>
      <c r="AM39" s="54" t="s">
        <v>0</v>
      </c>
      <c r="AN39" s="54" t="s">
        <v>32</v>
      </c>
      <c r="AO39" s="54" t="s">
        <v>67</v>
      </c>
      <c r="AP39" s="54" t="s">
        <v>77</v>
      </c>
      <c r="AS39" s="3" t="s">
        <v>70</v>
      </c>
      <c r="AT39" s="2">
        <f>AT40-AT34-AT35</f>
        <v>88</v>
      </c>
      <c r="AU39" s="53">
        <f>AU40-AU34-AU35</f>
        <v>144.03703703703695</v>
      </c>
      <c r="AV39" s="53">
        <f t="shared" si="13"/>
        <v>1.6367845117845108</v>
      </c>
      <c r="AW39" s="53"/>
      <c r="AX39" s="53"/>
      <c r="AY39" s="53"/>
      <c r="AZ39" s="2"/>
      <c r="BA39" s="2"/>
    </row>
    <row r="40" spans="1:53" ht="15.5" x14ac:dyDescent="0.3">
      <c r="A40" s="73"/>
      <c r="B40" s="75"/>
      <c r="C40" s="21" t="s">
        <v>14</v>
      </c>
      <c r="D40" s="27">
        <v>7</v>
      </c>
      <c r="E40" s="27">
        <v>4</v>
      </c>
      <c r="F40" s="27">
        <v>5</v>
      </c>
      <c r="G40" s="27">
        <v>5</v>
      </c>
      <c r="H40" s="27">
        <v>6</v>
      </c>
      <c r="I40" s="27">
        <v>5</v>
      </c>
      <c r="J40" s="27">
        <v>4</v>
      </c>
      <c r="K40" s="27">
        <v>4</v>
      </c>
      <c r="L40" s="27">
        <v>5</v>
      </c>
      <c r="M40" s="27">
        <v>6</v>
      </c>
      <c r="N40" s="27">
        <v>7</v>
      </c>
      <c r="O40" s="27">
        <v>8</v>
      </c>
      <c r="P40" s="22">
        <f t="shared" si="15"/>
        <v>66</v>
      </c>
      <c r="Q40" s="53">
        <f t="shared" si="16"/>
        <v>5.5</v>
      </c>
      <c r="S40" s="6" t="s">
        <v>49</v>
      </c>
      <c r="T40" s="51">
        <f>(SUMSQ(Z34:Z36)/(12*3))-T36</f>
        <v>340.51851851851848</v>
      </c>
      <c r="AA40" s="51"/>
      <c r="AE40" s="51"/>
      <c r="AF40" s="51"/>
      <c r="AG40" s="51"/>
      <c r="AH40" s="51"/>
      <c r="AI40" s="51"/>
      <c r="AM40" s="60" t="s">
        <v>16</v>
      </c>
      <c r="AN40" s="53">
        <v>1.25</v>
      </c>
      <c r="AO40" s="53" t="s">
        <v>93</v>
      </c>
      <c r="AP40" s="53">
        <f>AN40+AN37</f>
        <v>2.8971759366314611</v>
      </c>
      <c r="AS40" s="3" t="s">
        <v>33</v>
      </c>
      <c r="AT40" s="2">
        <f>(3*3*12)-1</f>
        <v>107</v>
      </c>
      <c r="AU40" s="53">
        <f>SUMSQ(D35:O43)-AT43</f>
        <v>534.62962962962956</v>
      </c>
      <c r="AV40" s="53"/>
      <c r="AW40" s="53"/>
      <c r="AX40" s="53"/>
      <c r="AY40" s="53"/>
      <c r="AZ40" s="2"/>
      <c r="BA40" s="2"/>
    </row>
    <row r="41" spans="1:53" ht="15.5" x14ac:dyDescent="0.3">
      <c r="A41" s="73"/>
      <c r="B41" s="75"/>
      <c r="C41" s="21" t="s">
        <v>15</v>
      </c>
      <c r="D41" s="26">
        <v>2</v>
      </c>
      <c r="E41" s="26">
        <v>0</v>
      </c>
      <c r="F41" s="26">
        <v>3</v>
      </c>
      <c r="G41" s="26">
        <v>1</v>
      </c>
      <c r="H41" s="26">
        <v>3</v>
      </c>
      <c r="I41" s="26">
        <v>2</v>
      </c>
      <c r="J41" s="26">
        <v>1</v>
      </c>
      <c r="K41" s="26">
        <v>1</v>
      </c>
      <c r="L41" s="26">
        <v>3</v>
      </c>
      <c r="M41" s="26">
        <v>3</v>
      </c>
      <c r="N41" s="26">
        <v>2</v>
      </c>
      <c r="O41" s="26">
        <v>2</v>
      </c>
      <c r="P41" s="22">
        <f t="shared" si="15"/>
        <v>23</v>
      </c>
      <c r="Q41" s="53">
        <f t="shared" si="16"/>
        <v>1.9166666666666667</v>
      </c>
      <c r="S41" s="6" t="s">
        <v>51</v>
      </c>
      <c r="T41" s="51">
        <f>(SUMSQ(W34:Y36)/(12))-T36-T39-T40</f>
        <v>21.981481481481524</v>
      </c>
      <c r="AA41" s="51"/>
      <c r="AE41" s="51"/>
      <c r="AF41" s="51"/>
      <c r="AG41" s="51"/>
      <c r="AH41" s="51"/>
      <c r="AI41" s="51"/>
      <c r="AM41" s="60" t="s">
        <v>9</v>
      </c>
      <c r="AN41" s="53">
        <v>1.5</v>
      </c>
      <c r="AO41" s="53" t="s">
        <v>93</v>
      </c>
      <c r="AP41" s="53">
        <f>AN41+AN37</f>
        <v>3.1471759366314611</v>
      </c>
    </row>
    <row r="42" spans="1:53" ht="15.5" x14ac:dyDescent="0.3">
      <c r="A42" s="73"/>
      <c r="B42" s="75"/>
      <c r="C42" s="21" t="s">
        <v>16</v>
      </c>
      <c r="D42" s="26">
        <v>1</v>
      </c>
      <c r="E42" s="26">
        <v>1</v>
      </c>
      <c r="F42" s="26">
        <v>0</v>
      </c>
      <c r="G42" s="26">
        <v>1</v>
      </c>
      <c r="H42" s="26">
        <v>0</v>
      </c>
      <c r="I42" s="26">
        <v>2</v>
      </c>
      <c r="J42" s="26">
        <v>2</v>
      </c>
      <c r="K42" s="26">
        <v>3</v>
      </c>
      <c r="L42" s="26">
        <v>1</v>
      </c>
      <c r="M42" s="26">
        <v>1</v>
      </c>
      <c r="N42" s="26">
        <v>1</v>
      </c>
      <c r="O42" s="26">
        <v>2</v>
      </c>
      <c r="P42" s="22">
        <f t="shared" si="15"/>
        <v>15</v>
      </c>
      <c r="Q42" s="53">
        <f t="shared" si="16"/>
        <v>1.25</v>
      </c>
      <c r="S42" s="6" t="s">
        <v>52</v>
      </c>
      <c r="T42" s="51">
        <f>T37-T38-T39-T40-T41</f>
        <v>144.03703703703695</v>
      </c>
      <c r="AA42" s="51"/>
      <c r="AE42" s="51"/>
      <c r="AF42" s="51"/>
      <c r="AG42" s="51"/>
      <c r="AH42" s="51"/>
      <c r="AI42" s="51"/>
      <c r="AM42" s="60" t="s">
        <v>15</v>
      </c>
      <c r="AN42" s="53">
        <v>1.9166666666666667</v>
      </c>
      <c r="AO42" s="53" t="s">
        <v>99</v>
      </c>
      <c r="AP42" s="53">
        <f>AN42+AN37</f>
        <v>3.5638426032981281</v>
      </c>
    </row>
    <row r="43" spans="1:53" ht="15.5" x14ac:dyDescent="0.3">
      <c r="A43" s="73"/>
      <c r="B43" s="75"/>
      <c r="C43" s="21" t="s">
        <v>17</v>
      </c>
      <c r="D43" s="26">
        <v>2</v>
      </c>
      <c r="E43" s="26">
        <v>1</v>
      </c>
      <c r="F43" s="26">
        <v>2</v>
      </c>
      <c r="G43" s="26">
        <v>6</v>
      </c>
      <c r="H43" s="26">
        <v>0</v>
      </c>
      <c r="I43" s="26">
        <v>2</v>
      </c>
      <c r="J43" s="26">
        <v>2</v>
      </c>
      <c r="K43" s="26">
        <v>3</v>
      </c>
      <c r="L43" s="26">
        <v>2</v>
      </c>
      <c r="M43" s="26">
        <v>2</v>
      </c>
      <c r="N43" s="26">
        <v>1</v>
      </c>
      <c r="O43" s="26">
        <v>3</v>
      </c>
      <c r="P43" s="22">
        <f t="shared" si="15"/>
        <v>26</v>
      </c>
      <c r="Q43" s="53">
        <f t="shared" si="16"/>
        <v>2.1666666666666665</v>
      </c>
      <c r="AA43" s="51"/>
      <c r="AE43" s="51"/>
      <c r="AF43" s="51"/>
      <c r="AG43" s="51"/>
      <c r="AH43" s="51"/>
      <c r="AI43" s="51"/>
      <c r="AM43" s="60" t="s">
        <v>17</v>
      </c>
      <c r="AN43" s="53">
        <v>2.1666666666666665</v>
      </c>
      <c r="AO43" s="53" t="s">
        <v>99</v>
      </c>
      <c r="AP43" s="53">
        <f>AN43+AN37</f>
        <v>3.8138426032981276</v>
      </c>
      <c r="AS43" s="2" t="s">
        <v>46</v>
      </c>
      <c r="AT43" s="53">
        <f>P44^2/(3*3*12)</f>
        <v>1213.3703703703704</v>
      </c>
    </row>
    <row r="44" spans="1:53" x14ac:dyDescent="0.3">
      <c r="A44" s="73"/>
      <c r="B44" s="75"/>
      <c r="C44" s="20" t="s">
        <v>33</v>
      </c>
      <c r="D44" s="23">
        <f>SUM(D35:D43)</f>
        <v>27</v>
      </c>
      <c r="E44" s="23">
        <f t="shared" ref="E44:O44" si="17">SUM(E35:E43)</f>
        <v>24</v>
      </c>
      <c r="F44" s="23">
        <f t="shared" si="17"/>
        <v>30</v>
      </c>
      <c r="G44" s="23">
        <f t="shared" si="17"/>
        <v>32</v>
      </c>
      <c r="H44" s="23">
        <f t="shared" si="17"/>
        <v>22</v>
      </c>
      <c r="I44" s="23">
        <f t="shared" si="17"/>
        <v>33</v>
      </c>
      <c r="J44" s="23">
        <f t="shared" si="17"/>
        <v>28</v>
      </c>
      <c r="K44" s="23">
        <f t="shared" si="17"/>
        <v>34</v>
      </c>
      <c r="L44" s="23">
        <f t="shared" si="17"/>
        <v>33</v>
      </c>
      <c r="M44" s="23">
        <f t="shared" si="17"/>
        <v>31</v>
      </c>
      <c r="N44" s="23">
        <f t="shared" si="17"/>
        <v>32</v>
      </c>
      <c r="O44" s="23">
        <f t="shared" si="17"/>
        <v>36</v>
      </c>
      <c r="P44" s="22">
        <f t="shared" si="15"/>
        <v>362</v>
      </c>
      <c r="Q44" s="53"/>
      <c r="AA44" s="51"/>
      <c r="AE44" s="51"/>
      <c r="AF44" s="51"/>
      <c r="AG44" s="51"/>
      <c r="AH44" s="51"/>
      <c r="AI44" s="51"/>
      <c r="AM44" s="60" t="s">
        <v>10</v>
      </c>
      <c r="AN44" s="53">
        <v>2.5833333333333335</v>
      </c>
      <c r="AO44" s="53" t="s">
        <v>99</v>
      </c>
      <c r="AP44" s="53">
        <f>AN44+AN37</f>
        <v>4.230509269964795</v>
      </c>
    </row>
    <row r="45" spans="1:53" x14ac:dyDescent="0.3">
      <c r="A45" s="66"/>
      <c r="B45" s="76"/>
      <c r="C45" s="20" t="s">
        <v>32</v>
      </c>
      <c r="D45" s="53">
        <f>AVERAGE(D35:D43)</f>
        <v>3</v>
      </c>
      <c r="E45" s="53">
        <f t="shared" ref="E45:O45" si="18">AVERAGE(E35:E43)</f>
        <v>2.6666666666666665</v>
      </c>
      <c r="F45" s="53">
        <f t="shared" si="18"/>
        <v>3.3333333333333335</v>
      </c>
      <c r="G45" s="53">
        <f t="shared" si="18"/>
        <v>3.5555555555555554</v>
      </c>
      <c r="H45" s="53">
        <f t="shared" si="18"/>
        <v>2.4444444444444446</v>
      </c>
      <c r="I45" s="53">
        <f t="shared" si="18"/>
        <v>3.6666666666666665</v>
      </c>
      <c r="J45" s="53">
        <f t="shared" si="18"/>
        <v>3.1111111111111112</v>
      </c>
      <c r="K45" s="53">
        <f t="shared" si="18"/>
        <v>3.7777777777777777</v>
      </c>
      <c r="L45" s="53">
        <f t="shared" si="18"/>
        <v>3.6666666666666665</v>
      </c>
      <c r="M45" s="53">
        <f t="shared" si="18"/>
        <v>3.4444444444444446</v>
      </c>
      <c r="N45" s="53">
        <f t="shared" si="18"/>
        <v>3.5555555555555554</v>
      </c>
      <c r="O45" s="53">
        <f t="shared" si="18"/>
        <v>4</v>
      </c>
      <c r="P45" s="2"/>
      <c r="Q45" s="53"/>
      <c r="AA45" s="51"/>
      <c r="AE45" s="51"/>
      <c r="AF45" s="51"/>
      <c r="AG45" s="51"/>
      <c r="AH45" s="51"/>
      <c r="AI45" s="51"/>
      <c r="AM45" s="60" t="s">
        <v>11</v>
      </c>
      <c r="AN45" s="53">
        <v>3.25</v>
      </c>
      <c r="AO45" s="53" t="s">
        <v>94</v>
      </c>
      <c r="AP45" s="53">
        <f>AN45+AN37</f>
        <v>4.8971759366314611</v>
      </c>
    </row>
    <row r="46" spans="1:53" x14ac:dyDescent="0.3">
      <c r="Q46" s="51"/>
      <c r="AA46" s="51"/>
      <c r="AE46" s="51"/>
      <c r="AF46" s="51"/>
      <c r="AG46" s="51"/>
      <c r="AH46" s="51"/>
      <c r="AI46" s="51"/>
      <c r="AM46" s="60" t="s">
        <v>14</v>
      </c>
      <c r="AN46" s="53">
        <v>5.5</v>
      </c>
      <c r="AO46" s="53" t="s">
        <v>102</v>
      </c>
      <c r="AP46" s="53">
        <f>AN46+AN37</f>
        <v>7.1471759366314611</v>
      </c>
      <c r="AS46" s="6" t="s">
        <v>97</v>
      </c>
    </row>
    <row r="47" spans="1:53" x14ac:dyDescent="0.3">
      <c r="A47" s="3" t="s">
        <v>18</v>
      </c>
      <c r="B47" s="3" t="s">
        <v>20</v>
      </c>
      <c r="C47" s="87" t="s">
        <v>0</v>
      </c>
      <c r="D47" s="69" t="s">
        <v>1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5" t="s">
        <v>33</v>
      </c>
      <c r="Q47" s="67" t="s">
        <v>32</v>
      </c>
      <c r="V47" s="65" t="s">
        <v>53</v>
      </c>
      <c r="W47" s="70" t="s">
        <v>54</v>
      </c>
      <c r="X47" s="71"/>
      <c r="Y47" s="72"/>
      <c r="Z47" s="65" t="s">
        <v>33</v>
      </c>
      <c r="AA47" s="67" t="s">
        <v>32</v>
      </c>
      <c r="AC47" s="65" t="s">
        <v>61</v>
      </c>
      <c r="AD47" s="65" t="s">
        <v>62</v>
      </c>
      <c r="AE47" s="67" t="s">
        <v>63</v>
      </c>
      <c r="AF47" s="67" t="s">
        <v>64</v>
      </c>
      <c r="AG47" s="67" t="s">
        <v>65</v>
      </c>
      <c r="AH47" s="64" t="s">
        <v>66</v>
      </c>
      <c r="AI47" s="64"/>
      <c r="AJ47" s="65" t="s">
        <v>67</v>
      </c>
      <c r="AK47" s="65" t="s">
        <v>68</v>
      </c>
      <c r="AM47" s="60" t="s">
        <v>12</v>
      </c>
      <c r="AN47" s="53">
        <v>5.666666666666667</v>
      </c>
      <c r="AO47" s="53" t="s">
        <v>102</v>
      </c>
      <c r="AP47" s="53">
        <f>AN47+AN37</f>
        <v>7.3138426032981281</v>
      </c>
      <c r="AS47" s="65" t="s">
        <v>61</v>
      </c>
      <c r="AT47" s="65" t="s">
        <v>62</v>
      </c>
      <c r="AU47" s="65" t="s">
        <v>63</v>
      </c>
      <c r="AV47" s="65" t="s">
        <v>64</v>
      </c>
      <c r="AW47" s="65" t="s">
        <v>65</v>
      </c>
      <c r="AX47" s="69" t="s">
        <v>66</v>
      </c>
      <c r="AY47" s="69"/>
      <c r="AZ47" s="65" t="s">
        <v>67</v>
      </c>
      <c r="BA47" s="65" t="s">
        <v>68</v>
      </c>
    </row>
    <row r="48" spans="1:53" x14ac:dyDescent="0.3">
      <c r="A48" s="65">
        <v>4</v>
      </c>
      <c r="B48" s="74" t="s">
        <v>39</v>
      </c>
      <c r="C48" s="87"/>
      <c r="D48" s="69" t="s">
        <v>2</v>
      </c>
      <c r="E48" s="69"/>
      <c r="F48" s="69"/>
      <c r="G48" s="69"/>
      <c r="H48" s="69" t="s">
        <v>7</v>
      </c>
      <c r="I48" s="69"/>
      <c r="J48" s="69"/>
      <c r="K48" s="69"/>
      <c r="L48" s="69" t="s">
        <v>8</v>
      </c>
      <c r="M48" s="69"/>
      <c r="N48" s="69"/>
      <c r="O48" s="69"/>
      <c r="P48" s="73"/>
      <c r="Q48" s="77"/>
      <c r="S48" s="6" t="s">
        <v>71</v>
      </c>
      <c r="T48" s="6">
        <v>12</v>
      </c>
      <c r="V48" s="66"/>
      <c r="W48" s="3" t="s">
        <v>55</v>
      </c>
      <c r="X48" s="3" t="s">
        <v>56</v>
      </c>
      <c r="Y48" s="3" t="s">
        <v>57</v>
      </c>
      <c r="Z48" s="66"/>
      <c r="AA48" s="68"/>
      <c r="AC48" s="66"/>
      <c r="AD48" s="66"/>
      <c r="AE48" s="68"/>
      <c r="AF48" s="68"/>
      <c r="AG48" s="68"/>
      <c r="AH48" s="59">
        <v>0.05</v>
      </c>
      <c r="AI48" s="59">
        <v>0.01</v>
      </c>
      <c r="AJ48" s="66"/>
      <c r="AK48" s="66"/>
      <c r="AM48" s="60" t="s">
        <v>13</v>
      </c>
      <c r="AN48" s="53">
        <v>6.333333333333333</v>
      </c>
      <c r="AO48" s="53" t="s">
        <v>102</v>
      </c>
      <c r="AP48" s="53">
        <f>AN48+AN37</f>
        <v>7.9805092699647942</v>
      </c>
      <c r="AS48" s="66"/>
      <c r="AT48" s="66"/>
      <c r="AU48" s="66"/>
      <c r="AV48" s="66"/>
      <c r="AW48" s="66"/>
      <c r="AX48" s="42">
        <v>0.05</v>
      </c>
      <c r="AY48" s="42">
        <v>0.01</v>
      </c>
      <c r="AZ48" s="66"/>
      <c r="BA48" s="66"/>
    </row>
    <row r="49" spans="1:53" x14ac:dyDescent="0.3">
      <c r="A49" s="73"/>
      <c r="B49" s="75"/>
      <c r="C49" s="87"/>
      <c r="D49" s="18" t="s">
        <v>3</v>
      </c>
      <c r="E49" s="18" t="s">
        <v>4</v>
      </c>
      <c r="F49" s="18" t="s">
        <v>5</v>
      </c>
      <c r="G49" s="18" t="s">
        <v>6</v>
      </c>
      <c r="H49" s="18" t="s">
        <v>3</v>
      </c>
      <c r="I49" s="18" t="s">
        <v>4</v>
      </c>
      <c r="J49" s="18" t="s">
        <v>5</v>
      </c>
      <c r="K49" s="18" t="s">
        <v>6</v>
      </c>
      <c r="L49" s="18" t="s">
        <v>3</v>
      </c>
      <c r="M49" s="18" t="s">
        <v>4</v>
      </c>
      <c r="N49" s="18" t="s">
        <v>5</v>
      </c>
      <c r="O49" s="18" t="s">
        <v>6</v>
      </c>
      <c r="P49" s="66"/>
      <c r="Q49" s="68"/>
      <c r="S49" s="6" t="s">
        <v>44</v>
      </c>
      <c r="T49" s="6">
        <v>3</v>
      </c>
      <c r="V49" s="3" t="s">
        <v>58</v>
      </c>
      <c r="W49" s="2">
        <f>SUM(D50:O50)</f>
        <v>35</v>
      </c>
      <c r="X49" s="2">
        <f>SUM(D51:O51)</f>
        <v>44</v>
      </c>
      <c r="Y49" s="2">
        <f>SUM(D52:O52)</f>
        <v>35</v>
      </c>
      <c r="Z49" s="2">
        <f>SUM(W49:Y49)</f>
        <v>114</v>
      </c>
      <c r="AA49" s="53">
        <f>AVERAGE(W49:Y49)</f>
        <v>38</v>
      </c>
      <c r="AC49" s="3" t="s">
        <v>43</v>
      </c>
      <c r="AD49" s="2">
        <f>12-1</f>
        <v>11</v>
      </c>
      <c r="AE49" s="53">
        <f>T53</f>
        <v>19.074074074074133</v>
      </c>
      <c r="AF49" s="53">
        <f>AE49/AD49</f>
        <v>1.7340067340067393</v>
      </c>
      <c r="AG49" s="53">
        <f>AF49/AF53</f>
        <v>1.1379643695622186</v>
      </c>
      <c r="AH49" s="53">
        <f>FINV(AH48,AD49,AD53)</f>
        <v>1.8991710184693407</v>
      </c>
      <c r="AI49" s="53">
        <f>FINV(AI48,AD49,AD53)</f>
        <v>2.4560580535880434</v>
      </c>
      <c r="AJ49" s="30" t="s">
        <v>95</v>
      </c>
      <c r="AK49" s="2"/>
      <c r="AM49" s="51"/>
      <c r="AN49" s="51"/>
      <c r="AO49" s="51"/>
      <c r="AP49" s="51"/>
      <c r="AS49" s="3" t="s">
        <v>43</v>
      </c>
      <c r="AT49" s="2">
        <f>12-1</f>
        <v>11</v>
      </c>
      <c r="AU49" s="6">
        <f>SUMSQ(D59:O59)/(3*3)-AT58</f>
        <v>19.074074074074133</v>
      </c>
      <c r="AV49" s="53">
        <f>AU49/AT49</f>
        <v>1.7340067340067393</v>
      </c>
      <c r="AW49" s="53">
        <f>AV49/AV54</f>
        <v>1.1379643695622186</v>
      </c>
      <c r="AX49" s="53">
        <f>FINV(AX48,AT49,AT54)</f>
        <v>1.8991710184693407</v>
      </c>
      <c r="AY49" s="53">
        <f>FINV(AY48,AT49,AT54)</f>
        <v>2.4560580535880434</v>
      </c>
      <c r="AZ49" s="2" t="str">
        <f>IF(AW49&gt;AY49,"**",IF(AW49&gt;AX49,"*","TN"))</f>
        <v>TN</v>
      </c>
      <c r="BA49" s="2" t="str">
        <f>IF(AZ49="TN","Tidak Nyata",IF(AZ49="*","Nyata",IF(AZ49="**","Sangat Nyata",0)))</f>
        <v>Tidak Nyata</v>
      </c>
    </row>
    <row r="50" spans="1:53" ht="15.5" x14ac:dyDescent="0.3">
      <c r="A50" s="73"/>
      <c r="B50" s="75"/>
      <c r="C50" s="21" t="s">
        <v>9</v>
      </c>
      <c r="D50" s="26">
        <v>3</v>
      </c>
      <c r="E50" s="26">
        <v>2</v>
      </c>
      <c r="F50" s="26">
        <v>4</v>
      </c>
      <c r="G50" s="26">
        <v>3</v>
      </c>
      <c r="H50" s="26">
        <v>2</v>
      </c>
      <c r="I50" s="26">
        <v>3</v>
      </c>
      <c r="J50" s="26">
        <v>3</v>
      </c>
      <c r="K50" s="26">
        <v>3</v>
      </c>
      <c r="L50" s="26">
        <v>3</v>
      </c>
      <c r="M50" s="26">
        <v>2</v>
      </c>
      <c r="N50" s="26">
        <v>4</v>
      </c>
      <c r="O50" s="26">
        <v>3</v>
      </c>
      <c r="P50" s="22">
        <f>SUM(D50:O50)</f>
        <v>35</v>
      </c>
      <c r="Q50" s="53">
        <f>AVERAGE(D50:O50)</f>
        <v>2.9166666666666665</v>
      </c>
      <c r="S50" s="6" t="s">
        <v>45</v>
      </c>
      <c r="T50" s="6">
        <v>3</v>
      </c>
      <c r="V50" s="3" t="s">
        <v>59</v>
      </c>
      <c r="W50" s="2">
        <f>SUM(D53:O53)</f>
        <v>61</v>
      </c>
      <c r="X50" s="2">
        <f>SUM(D54:O54)</f>
        <v>73</v>
      </c>
      <c r="Y50" s="2">
        <f>SUM(D55:O55)</f>
        <v>69</v>
      </c>
      <c r="Z50" s="2">
        <f>SUM(W50:Y50)</f>
        <v>203</v>
      </c>
      <c r="AA50" s="53">
        <f>AVERAGE(W50:Y50)</f>
        <v>67.666666666666671</v>
      </c>
      <c r="AC50" s="3" t="s">
        <v>45</v>
      </c>
      <c r="AD50" s="2">
        <f>3-1</f>
        <v>2</v>
      </c>
      <c r="AE50" s="53">
        <f>T54</f>
        <v>7.9074074074073906</v>
      </c>
      <c r="AF50" s="53">
        <f>AE50/AD50</f>
        <v>3.9537037037036953</v>
      </c>
      <c r="AG50" s="53">
        <f>AF50/AF53</f>
        <v>2.5946692445794719</v>
      </c>
      <c r="AH50" s="53">
        <f>FINV(AH48,AD50,AD53)</f>
        <v>3.1000686386371408</v>
      </c>
      <c r="AI50" s="53">
        <f>FINV(AI48,AD50,AD53)</f>
        <v>4.8547979993760721</v>
      </c>
      <c r="AJ50" s="30" t="s">
        <v>95</v>
      </c>
      <c r="AK50" s="2"/>
      <c r="AM50" s="80" t="s">
        <v>80</v>
      </c>
      <c r="AN50" s="80"/>
      <c r="AO50" s="51"/>
      <c r="AP50" s="51"/>
      <c r="AS50" s="3" t="s">
        <v>98</v>
      </c>
      <c r="AT50" s="2">
        <f>3*3-1</f>
        <v>8</v>
      </c>
      <c r="AU50" s="53">
        <f>SUMSQ(P50:P58)/12-AT58</f>
        <v>162.7962962962963</v>
      </c>
      <c r="AV50" s="53">
        <f t="shared" ref="AV50:AV54" si="19">AU50/AT50</f>
        <v>20.349537037037038</v>
      </c>
      <c r="AW50" s="53">
        <f>AV50/AV54</f>
        <v>13.35464714818395</v>
      </c>
      <c r="AX50" s="53">
        <f>FINV(AX48,AT50,AT54)</f>
        <v>2.0454143150341193</v>
      </c>
      <c r="AY50" s="53">
        <f>FINV(AY48,AT50,AT54)</f>
        <v>2.720181875728696</v>
      </c>
      <c r="AZ50" s="2" t="str">
        <f>IF(AW50&gt;AY50,"**",IF(AW50&gt;AX50,"*","TN"))</f>
        <v>**</v>
      </c>
      <c r="BA50" s="2" t="str">
        <f t="shared" ref="BA50:BA53" si="20">IF(AZ50="TN","Tidak Nyata",IF(AZ50="*","Nyata",IF(AZ50="**","Sangat Nyata",0)))</f>
        <v>Sangat Nyata</v>
      </c>
    </row>
    <row r="51" spans="1:53" ht="15.5" x14ac:dyDescent="0.3">
      <c r="A51" s="73"/>
      <c r="B51" s="75"/>
      <c r="C51" s="21" t="s">
        <v>10</v>
      </c>
      <c r="D51" s="26">
        <v>3</v>
      </c>
      <c r="E51" s="26">
        <v>6</v>
      </c>
      <c r="F51" s="26">
        <v>2</v>
      </c>
      <c r="G51" s="26">
        <v>5</v>
      </c>
      <c r="H51" s="26">
        <v>7</v>
      </c>
      <c r="I51" s="26">
        <v>3</v>
      </c>
      <c r="J51" s="26">
        <v>4</v>
      </c>
      <c r="K51" s="26">
        <v>2</v>
      </c>
      <c r="L51" s="26">
        <v>5</v>
      </c>
      <c r="M51" s="26">
        <v>2</v>
      </c>
      <c r="N51" s="26">
        <v>3</v>
      </c>
      <c r="O51" s="26">
        <v>2</v>
      </c>
      <c r="P51" s="22">
        <f t="shared" ref="P51:P59" si="21">SUM(D51:O51)</f>
        <v>44</v>
      </c>
      <c r="Q51" s="53">
        <f t="shared" ref="Q51:Q58" si="22">AVERAGE(D51:O51)</f>
        <v>3.6666666666666665</v>
      </c>
      <c r="S51" s="6" t="s">
        <v>46</v>
      </c>
      <c r="T51" s="51">
        <f>(P59^2)/(12*3*3)</f>
        <v>1712.037037037037</v>
      </c>
      <c r="V51" s="3" t="s">
        <v>60</v>
      </c>
      <c r="W51" s="2">
        <f>SUM(D56:O56)</f>
        <v>34</v>
      </c>
      <c r="X51" s="2">
        <f>SUM(D57:O57)</f>
        <v>36</v>
      </c>
      <c r="Y51" s="2">
        <f>SUM(D58:O58)</f>
        <v>43</v>
      </c>
      <c r="Z51" s="2">
        <f>SUM(W51:Y51)</f>
        <v>113</v>
      </c>
      <c r="AA51" s="53">
        <f>AVERAGE(W51:Y51)</f>
        <v>37.666666666666664</v>
      </c>
      <c r="AC51" s="3" t="s">
        <v>44</v>
      </c>
      <c r="AD51" s="2">
        <f>3-1</f>
        <v>2</v>
      </c>
      <c r="AE51" s="53">
        <f>T55</f>
        <v>148.35185185185196</v>
      </c>
      <c r="AF51" s="53">
        <f>AE51/AD51</f>
        <v>74.175925925925981</v>
      </c>
      <c r="AG51" s="53">
        <f>AF51/AF53</f>
        <v>48.678911752520399</v>
      </c>
      <c r="AH51" s="53">
        <f>FINV(AH48,AD51,AD53)</f>
        <v>3.1000686386371408</v>
      </c>
      <c r="AI51" s="53">
        <f>FINV(AI48,AD51,AD53)</f>
        <v>4.8547979993760721</v>
      </c>
      <c r="AJ51" s="30" t="s">
        <v>72</v>
      </c>
      <c r="AK51" s="2"/>
      <c r="AM51" s="54" t="s">
        <v>74</v>
      </c>
      <c r="AN51" s="54">
        <f>SQRT(AF53/12)</f>
        <v>0.35634480741732222</v>
      </c>
      <c r="AO51" s="56"/>
      <c r="AP51" s="55" t="s">
        <v>87</v>
      </c>
      <c r="AS51" s="3" t="s">
        <v>45</v>
      </c>
      <c r="AT51" s="2">
        <f>3-1</f>
        <v>2</v>
      </c>
      <c r="AU51" s="53">
        <f>SUMSQ(W52:Y52)/(3*12)-AT58</f>
        <v>7.9074074074073906</v>
      </c>
      <c r="AV51" s="53">
        <f t="shared" si="19"/>
        <v>3.9537037037036953</v>
      </c>
      <c r="AW51" s="53">
        <f>AV51/AV54</f>
        <v>2.5946692445794719</v>
      </c>
      <c r="AX51" s="53">
        <f>FINV(AX48,AT51,AT54)</f>
        <v>3.1000686386371408</v>
      </c>
      <c r="AY51" s="53">
        <f>FINV(AY48,AT51,AT54)</f>
        <v>4.8547979993760721</v>
      </c>
      <c r="AZ51" s="2" t="str">
        <f>IF(AW51&gt;AY51,"**",IF(AW51&gt;AX51,"*","TN"))</f>
        <v>TN</v>
      </c>
      <c r="BA51" s="2" t="str">
        <f t="shared" si="20"/>
        <v>Tidak Nyata</v>
      </c>
    </row>
    <row r="52" spans="1:53" ht="15.5" x14ac:dyDescent="0.3">
      <c r="A52" s="73"/>
      <c r="B52" s="75"/>
      <c r="C52" s="21" t="s">
        <v>11</v>
      </c>
      <c r="D52" s="26">
        <v>2</v>
      </c>
      <c r="E52" s="26">
        <v>4</v>
      </c>
      <c r="F52" s="26">
        <v>3</v>
      </c>
      <c r="G52" s="26">
        <v>5</v>
      </c>
      <c r="H52" s="26">
        <v>2</v>
      </c>
      <c r="I52" s="26">
        <v>4</v>
      </c>
      <c r="J52" s="26">
        <v>3</v>
      </c>
      <c r="K52" s="26">
        <v>0</v>
      </c>
      <c r="L52" s="26">
        <v>3</v>
      </c>
      <c r="M52" s="26">
        <v>4</v>
      </c>
      <c r="N52" s="26">
        <v>2</v>
      </c>
      <c r="O52" s="26">
        <v>3</v>
      </c>
      <c r="P52" s="22">
        <f t="shared" si="21"/>
        <v>35</v>
      </c>
      <c r="Q52" s="53">
        <f t="shared" si="22"/>
        <v>2.9166666666666665</v>
      </c>
      <c r="S52" s="6" t="s">
        <v>47</v>
      </c>
      <c r="T52" s="51">
        <f>SUMSQ(D50:O58)-T51</f>
        <v>315.96296296296305</v>
      </c>
      <c r="V52" s="3" t="s">
        <v>33</v>
      </c>
      <c r="W52" s="2">
        <f>SUM(W49:W51)</f>
        <v>130</v>
      </c>
      <c r="X52" s="2">
        <f>SUM(X49:X51)</f>
        <v>153</v>
      </c>
      <c r="Y52" s="2">
        <f>SUM(Y49:Y51)</f>
        <v>147</v>
      </c>
      <c r="Z52" s="2">
        <f>SUM(W52:Y52)</f>
        <v>430</v>
      </c>
      <c r="AA52" s="53">
        <f>AVERAGE(W52:Y52)</f>
        <v>143.33333333333334</v>
      </c>
      <c r="AC52" s="3" t="s">
        <v>69</v>
      </c>
      <c r="AD52" s="2">
        <f>(3-1)*(3-1)</f>
        <v>4</v>
      </c>
      <c r="AE52" s="53">
        <f>T56</f>
        <v>6.5370370370369528</v>
      </c>
      <c r="AF52" s="53">
        <f>AE52/AD52</f>
        <v>1.6342592592592382</v>
      </c>
      <c r="AG52" s="53">
        <f>AF52/AF53</f>
        <v>1.072503797817967</v>
      </c>
      <c r="AH52" s="53">
        <f>FINV(AH48,AD52,AD53)</f>
        <v>2.4752774088696223</v>
      </c>
      <c r="AI52" s="53">
        <f>FINV(AI48,AD52,AD53)</f>
        <v>3.5400845421240663</v>
      </c>
      <c r="AJ52" s="30" t="s">
        <v>95</v>
      </c>
      <c r="AK52" s="2"/>
      <c r="AM52" s="53" t="s">
        <v>75</v>
      </c>
      <c r="AN52" s="54">
        <v>4.46</v>
      </c>
      <c r="AO52" s="51"/>
      <c r="AP52" s="51"/>
      <c r="AS52" s="3" t="s">
        <v>44</v>
      </c>
      <c r="AT52" s="2">
        <f>3-1</f>
        <v>2</v>
      </c>
      <c r="AU52" s="53">
        <f>SUMSQ(Z49:Z51)/(3*12)-AT58</f>
        <v>148.35185185185196</v>
      </c>
      <c r="AV52" s="53">
        <f t="shared" si="19"/>
        <v>74.175925925925981</v>
      </c>
      <c r="AW52" s="53">
        <f>AV52/AV54</f>
        <v>48.678911752520399</v>
      </c>
      <c r="AX52" s="53">
        <f>FINV(AX48,AT52,AT54)</f>
        <v>3.1000686386371408</v>
      </c>
      <c r="AY52" s="53">
        <f>FINV(AY48,AT52,AT54)</f>
        <v>4.8547979993760721</v>
      </c>
      <c r="AZ52" s="2" t="str">
        <f>IF(AW52&gt;AY52,"**",IF(AW52&gt;AX52,"*","TN"))</f>
        <v>**</v>
      </c>
      <c r="BA52" s="2" t="str">
        <f t="shared" si="20"/>
        <v>Sangat Nyata</v>
      </c>
    </row>
    <row r="53" spans="1:53" ht="15.5" x14ac:dyDescent="0.3">
      <c r="A53" s="73"/>
      <c r="B53" s="75"/>
      <c r="C53" s="21" t="s">
        <v>12</v>
      </c>
      <c r="D53" s="27">
        <v>3</v>
      </c>
      <c r="E53" s="27">
        <v>4</v>
      </c>
      <c r="F53" s="27">
        <v>4</v>
      </c>
      <c r="G53" s="27">
        <v>6</v>
      </c>
      <c r="H53" s="27">
        <v>3</v>
      </c>
      <c r="I53" s="27">
        <v>4</v>
      </c>
      <c r="J53" s="27">
        <v>4</v>
      </c>
      <c r="K53" s="27">
        <v>6</v>
      </c>
      <c r="L53" s="27">
        <v>7</v>
      </c>
      <c r="M53" s="27">
        <v>6</v>
      </c>
      <c r="N53" s="27">
        <v>7</v>
      </c>
      <c r="O53" s="27">
        <v>7</v>
      </c>
      <c r="P53" s="22">
        <f t="shared" si="21"/>
        <v>61</v>
      </c>
      <c r="Q53" s="53">
        <f t="shared" si="22"/>
        <v>5.083333333333333</v>
      </c>
      <c r="S53" s="6" t="s">
        <v>48</v>
      </c>
      <c r="T53" s="51">
        <f>(SUMSQ(D59:O59)/(3*3))-T51</f>
        <v>19.074074074074133</v>
      </c>
      <c r="V53" s="3" t="s">
        <v>32</v>
      </c>
      <c r="W53" s="53">
        <f>AVERAGE(W49:W51)</f>
        <v>43.333333333333336</v>
      </c>
      <c r="X53" s="53">
        <f>AVERAGE(X49:X51)</f>
        <v>51</v>
      </c>
      <c r="Y53" s="53">
        <f>AVERAGE(Y49:Y51)</f>
        <v>49</v>
      </c>
      <c r="Z53" s="2"/>
      <c r="AA53" s="53"/>
      <c r="AC53" s="3" t="s">
        <v>70</v>
      </c>
      <c r="AD53" s="2">
        <f>((3*3)-1)*(12-1)</f>
        <v>88</v>
      </c>
      <c r="AE53" s="53">
        <f>T57</f>
        <v>134.09259259259261</v>
      </c>
      <c r="AF53" s="53">
        <f>AE53/AD53</f>
        <v>1.5237794612794615</v>
      </c>
      <c r="AG53" s="53"/>
      <c r="AH53" s="53"/>
      <c r="AI53" s="53"/>
      <c r="AJ53" s="2"/>
      <c r="AK53" s="2"/>
      <c r="AM53" s="53" t="s">
        <v>76</v>
      </c>
      <c r="AN53" s="54">
        <f>AN52*AN51</f>
        <v>1.589297841081257</v>
      </c>
      <c r="AO53" s="51"/>
      <c r="AP53" s="51"/>
      <c r="AS53" s="3" t="s">
        <v>69</v>
      </c>
      <c r="AT53" s="2">
        <f>AT51*AT52</f>
        <v>4</v>
      </c>
      <c r="AU53" s="53">
        <f>AU50-AU51-AU52</f>
        <v>6.5370370370369528</v>
      </c>
      <c r="AV53" s="53">
        <f t="shared" si="19"/>
        <v>1.6342592592592382</v>
      </c>
      <c r="AW53" s="53">
        <f>AV53/AV54</f>
        <v>1.072503797817967</v>
      </c>
      <c r="AX53" s="53">
        <f>FINV(AX48,AT53,AT54)</f>
        <v>2.4752774088696223</v>
      </c>
      <c r="AY53" s="53">
        <f>FINV(AY48,AT53,AT54)</f>
        <v>3.5400845421240663</v>
      </c>
      <c r="AZ53" s="2" t="str">
        <f>IF(AW53&gt;AY53,"**",IF(AW53&gt;AX53,"*","TN"))</f>
        <v>TN</v>
      </c>
      <c r="BA53" s="2" t="str">
        <f t="shared" si="20"/>
        <v>Tidak Nyata</v>
      </c>
    </row>
    <row r="54" spans="1:53" ht="15.5" x14ac:dyDescent="0.3">
      <c r="A54" s="73"/>
      <c r="B54" s="75"/>
      <c r="C54" s="21" t="s">
        <v>13</v>
      </c>
      <c r="D54" s="27">
        <v>6</v>
      </c>
      <c r="E54" s="27">
        <v>5</v>
      </c>
      <c r="F54" s="27">
        <v>5</v>
      </c>
      <c r="G54" s="27">
        <v>6</v>
      </c>
      <c r="H54" s="27">
        <v>6</v>
      </c>
      <c r="I54" s="27">
        <v>5</v>
      </c>
      <c r="J54" s="27">
        <v>5</v>
      </c>
      <c r="K54" s="26">
        <v>4</v>
      </c>
      <c r="L54" s="27">
        <v>7</v>
      </c>
      <c r="M54" s="27">
        <v>7</v>
      </c>
      <c r="N54" s="27">
        <v>8</v>
      </c>
      <c r="O54" s="27">
        <v>9</v>
      </c>
      <c r="P54" s="22">
        <f t="shared" si="21"/>
        <v>73</v>
      </c>
      <c r="Q54" s="53">
        <f t="shared" si="22"/>
        <v>6.083333333333333</v>
      </c>
      <c r="S54" s="6" t="s">
        <v>50</v>
      </c>
      <c r="T54" s="51">
        <f>(SUMSQ(W52:Y52)/(12*3))-T51</f>
        <v>7.9074074074073906</v>
      </c>
      <c r="AA54" s="51"/>
      <c r="AC54" s="3" t="s">
        <v>33</v>
      </c>
      <c r="AD54" s="2">
        <f>(3*3*12)-1</f>
        <v>107</v>
      </c>
      <c r="AE54" s="53">
        <f>T52</f>
        <v>315.96296296296305</v>
      </c>
      <c r="AF54" s="53"/>
      <c r="AG54" s="53"/>
      <c r="AH54" s="53"/>
      <c r="AI54" s="53"/>
      <c r="AJ54" s="2"/>
      <c r="AK54" s="2"/>
      <c r="AM54" s="51"/>
      <c r="AN54" s="51"/>
      <c r="AO54" s="51"/>
      <c r="AP54" s="51"/>
      <c r="AS54" s="3" t="s">
        <v>70</v>
      </c>
      <c r="AT54" s="2">
        <f>AT55-AT49-AT50</f>
        <v>88</v>
      </c>
      <c r="AU54" s="53">
        <f>AU55-AU49-AU50</f>
        <v>134.09259259259261</v>
      </c>
      <c r="AV54" s="53">
        <f t="shared" si="19"/>
        <v>1.5237794612794615</v>
      </c>
      <c r="AW54" s="53"/>
      <c r="AX54" s="53"/>
      <c r="AY54" s="53"/>
      <c r="AZ54" s="2"/>
      <c r="BA54" s="2"/>
    </row>
    <row r="55" spans="1:53" ht="15.5" x14ac:dyDescent="0.3">
      <c r="A55" s="73"/>
      <c r="B55" s="75"/>
      <c r="C55" s="21" t="s">
        <v>14</v>
      </c>
      <c r="D55" s="27">
        <v>7</v>
      </c>
      <c r="E55" s="27">
        <v>5</v>
      </c>
      <c r="F55" s="27">
        <v>4</v>
      </c>
      <c r="G55" s="27">
        <v>6</v>
      </c>
      <c r="H55" s="27">
        <v>7</v>
      </c>
      <c r="I55" s="27">
        <v>5</v>
      </c>
      <c r="J55" s="27">
        <v>4</v>
      </c>
      <c r="K55" s="27">
        <v>6</v>
      </c>
      <c r="L55" s="27">
        <v>6</v>
      </c>
      <c r="M55" s="27">
        <v>4</v>
      </c>
      <c r="N55" s="27">
        <v>8</v>
      </c>
      <c r="O55" s="27">
        <v>7</v>
      </c>
      <c r="P55" s="22">
        <f t="shared" si="21"/>
        <v>69</v>
      </c>
      <c r="Q55" s="53">
        <f t="shared" si="22"/>
        <v>5.75</v>
      </c>
      <c r="S55" s="6" t="s">
        <v>49</v>
      </c>
      <c r="T55" s="51">
        <f>(SUMSQ(Z49:Z51)/(12*3))-T51</f>
        <v>148.35185185185196</v>
      </c>
      <c r="AA55" s="51"/>
      <c r="AE55" s="51"/>
      <c r="AF55" s="51"/>
      <c r="AG55" s="51"/>
      <c r="AH55" s="51"/>
      <c r="AI55" s="51"/>
      <c r="AM55" s="54" t="s">
        <v>0</v>
      </c>
      <c r="AN55" s="54" t="s">
        <v>32</v>
      </c>
      <c r="AO55" s="54" t="s">
        <v>67</v>
      </c>
      <c r="AP55" s="54" t="s">
        <v>77</v>
      </c>
      <c r="AS55" s="3" t="s">
        <v>33</v>
      </c>
      <c r="AT55" s="2">
        <f>(3*3*12)-1</f>
        <v>107</v>
      </c>
      <c r="AU55" s="53">
        <f>SUMSQ(D50:O58)-AT58</f>
        <v>315.96296296296305</v>
      </c>
      <c r="AV55" s="53"/>
      <c r="AW55" s="53"/>
      <c r="AX55" s="53"/>
      <c r="AY55" s="53"/>
      <c r="AZ55" s="2"/>
      <c r="BA55" s="2"/>
    </row>
    <row r="56" spans="1:53" ht="15.5" x14ac:dyDescent="0.3">
      <c r="A56" s="73"/>
      <c r="B56" s="75"/>
      <c r="C56" s="21" t="s">
        <v>15</v>
      </c>
      <c r="D56" s="26">
        <v>1</v>
      </c>
      <c r="E56" s="26">
        <v>2</v>
      </c>
      <c r="F56" s="26">
        <v>4</v>
      </c>
      <c r="G56" s="26">
        <v>3</v>
      </c>
      <c r="H56" s="26">
        <v>1</v>
      </c>
      <c r="I56" s="26">
        <v>2</v>
      </c>
      <c r="J56" s="26">
        <v>3</v>
      </c>
      <c r="K56" s="26">
        <v>3</v>
      </c>
      <c r="L56" s="26">
        <v>5</v>
      </c>
      <c r="M56" s="26">
        <v>3</v>
      </c>
      <c r="N56" s="26">
        <v>3</v>
      </c>
      <c r="O56" s="26">
        <v>4</v>
      </c>
      <c r="P56" s="22">
        <f t="shared" si="21"/>
        <v>34</v>
      </c>
      <c r="Q56" s="53">
        <f t="shared" si="22"/>
        <v>2.8333333333333335</v>
      </c>
      <c r="S56" s="6" t="s">
        <v>51</v>
      </c>
      <c r="T56" s="51">
        <f>(SUMSQ(W49:Y51)/(12))-T51-T54-T55</f>
        <v>6.5370370370369528</v>
      </c>
      <c r="AA56" s="51"/>
      <c r="AE56" s="51"/>
      <c r="AF56" s="51"/>
      <c r="AG56" s="51"/>
      <c r="AH56" s="51"/>
      <c r="AI56" s="51"/>
      <c r="AM56" s="60" t="s">
        <v>15</v>
      </c>
      <c r="AN56" s="53">
        <v>2.8333333333333335</v>
      </c>
      <c r="AO56" s="53" t="s">
        <v>93</v>
      </c>
      <c r="AP56" s="53">
        <f>AN56+AN53</f>
        <v>4.4226311744145903</v>
      </c>
    </row>
    <row r="57" spans="1:53" ht="15.5" x14ac:dyDescent="0.3">
      <c r="A57" s="73"/>
      <c r="B57" s="75"/>
      <c r="C57" s="21" t="s">
        <v>16</v>
      </c>
      <c r="D57" s="26">
        <v>3</v>
      </c>
      <c r="E57" s="26">
        <v>3</v>
      </c>
      <c r="F57" s="26">
        <v>4</v>
      </c>
      <c r="G57" s="26">
        <v>3</v>
      </c>
      <c r="H57" s="26">
        <v>3</v>
      </c>
      <c r="I57" s="26">
        <v>3</v>
      </c>
      <c r="J57" s="26">
        <v>4</v>
      </c>
      <c r="K57" s="26">
        <v>3</v>
      </c>
      <c r="L57" s="26">
        <v>2</v>
      </c>
      <c r="M57" s="26">
        <v>2</v>
      </c>
      <c r="N57" s="26">
        <v>3</v>
      </c>
      <c r="O57" s="26">
        <v>3</v>
      </c>
      <c r="P57" s="22">
        <f t="shared" si="21"/>
        <v>36</v>
      </c>
      <c r="Q57" s="53">
        <f t="shared" si="22"/>
        <v>3</v>
      </c>
      <c r="S57" s="6" t="s">
        <v>52</v>
      </c>
      <c r="T57" s="51">
        <f>T52-T53-T54-T55-T56</f>
        <v>134.09259259259261</v>
      </c>
      <c r="AA57" s="51"/>
      <c r="AE57" s="51"/>
      <c r="AF57" s="51"/>
      <c r="AG57" s="51"/>
      <c r="AH57" s="51"/>
      <c r="AI57" s="51"/>
      <c r="AM57" s="60" t="s">
        <v>9</v>
      </c>
      <c r="AN57" s="53">
        <v>2.9166666666666665</v>
      </c>
      <c r="AO57" s="53" t="s">
        <v>93</v>
      </c>
      <c r="AP57" s="53">
        <f>AN57+AN53</f>
        <v>4.5059645077479233</v>
      </c>
    </row>
    <row r="58" spans="1:53" ht="15.5" x14ac:dyDescent="0.3">
      <c r="A58" s="73"/>
      <c r="B58" s="75"/>
      <c r="C58" s="21" t="s">
        <v>17</v>
      </c>
      <c r="D58" s="26">
        <v>4</v>
      </c>
      <c r="E58" s="26">
        <v>3</v>
      </c>
      <c r="F58" s="26">
        <v>4</v>
      </c>
      <c r="G58" s="26">
        <v>4</v>
      </c>
      <c r="H58" s="26">
        <v>4</v>
      </c>
      <c r="I58" s="26">
        <v>3</v>
      </c>
      <c r="J58" s="26">
        <v>4</v>
      </c>
      <c r="K58" s="26">
        <v>5</v>
      </c>
      <c r="L58" s="26">
        <v>3</v>
      </c>
      <c r="M58" s="26">
        <v>3</v>
      </c>
      <c r="N58" s="26">
        <v>2</v>
      </c>
      <c r="O58" s="26">
        <v>4</v>
      </c>
      <c r="P58" s="22">
        <f t="shared" si="21"/>
        <v>43</v>
      </c>
      <c r="Q58" s="53">
        <f t="shared" si="22"/>
        <v>3.5833333333333335</v>
      </c>
      <c r="AA58" s="51"/>
      <c r="AE58" s="51"/>
      <c r="AF58" s="51"/>
      <c r="AG58" s="51"/>
      <c r="AH58" s="51"/>
      <c r="AI58" s="51"/>
      <c r="AM58" s="60" t="s">
        <v>11</v>
      </c>
      <c r="AN58" s="53">
        <v>2.9166666666666665</v>
      </c>
      <c r="AO58" s="53" t="s">
        <v>93</v>
      </c>
      <c r="AP58" s="53">
        <f>AN58+AN53</f>
        <v>4.5059645077479233</v>
      </c>
      <c r="AS58" s="2" t="s">
        <v>46</v>
      </c>
      <c r="AT58" s="53">
        <f>P59^2/(3*3*12)</f>
        <v>1712.037037037037</v>
      </c>
    </row>
    <row r="59" spans="1:53" x14ac:dyDescent="0.3">
      <c r="A59" s="73"/>
      <c r="B59" s="75"/>
      <c r="C59" s="20" t="s">
        <v>33</v>
      </c>
      <c r="D59" s="23">
        <f>SUM(D50:D58)</f>
        <v>32</v>
      </c>
      <c r="E59" s="23">
        <f t="shared" ref="E59:O59" si="23">SUM(E50:E58)</f>
        <v>34</v>
      </c>
      <c r="F59" s="23">
        <f t="shared" si="23"/>
        <v>34</v>
      </c>
      <c r="G59" s="23">
        <f t="shared" si="23"/>
        <v>41</v>
      </c>
      <c r="H59" s="23">
        <f t="shared" si="23"/>
        <v>35</v>
      </c>
      <c r="I59" s="23">
        <f t="shared" si="23"/>
        <v>32</v>
      </c>
      <c r="J59" s="23">
        <f t="shared" si="23"/>
        <v>34</v>
      </c>
      <c r="K59" s="23">
        <f t="shared" si="23"/>
        <v>32</v>
      </c>
      <c r="L59" s="23">
        <f t="shared" si="23"/>
        <v>41</v>
      </c>
      <c r="M59" s="23">
        <f t="shared" si="23"/>
        <v>33</v>
      </c>
      <c r="N59" s="23">
        <f t="shared" si="23"/>
        <v>40</v>
      </c>
      <c r="O59" s="23">
        <f t="shared" si="23"/>
        <v>42</v>
      </c>
      <c r="P59" s="22">
        <f t="shared" si="21"/>
        <v>430</v>
      </c>
      <c r="Q59" s="53"/>
      <c r="AA59" s="51"/>
      <c r="AE59" s="51"/>
      <c r="AF59" s="51"/>
      <c r="AG59" s="51"/>
      <c r="AH59" s="51"/>
      <c r="AI59" s="51"/>
      <c r="AM59" s="60" t="s">
        <v>16</v>
      </c>
      <c r="AN59" s="53">
        <v>3</v>
      </c>
      <c r="AO59" s="53" t="s">
        <v>93</v>
      </c>
      <c r="AP59" s="53">
        <f>AN59+AN53</f>
        <v>4.5892978410812573</v>
      </c>
    </row>
    <row r="60" spans="1:53" x14ac:dyDescent="0.3">
      <c r="A60" s="66"/>
      <c r="B60" s="76"/>
      <c r="C60" s="20" t="s">
        <v>32</v>
      </c>
      <c r="D60" s="53">
        <f>AVERAGE(D50:D58)</f>
        <v>3.5555555555555554</v>
      </c>
      <c r="E60" s="53">
        <f t="shared" ref="E60:O60" si="24">AVERAGE(E50:E58)</f>
        <v>3.7777777777777777</v>
      </c>
      <c r="F60" s="53">
        <f t="shared" si="24"/>
        <v>3.7777777777777777</v>
      </c>
      <c r="G60" s="53">
        <f t="shared" si="24"/>
        <v>4.5555555555555554</v>
      </c>
      <c r="H60" s="53">
        <f t="shared" si="24"/>
        <v>3.8888888888888888</v>
      </c>
      <c r="I60" s="53">
        <f t="shared" si="24"/>
        <v>3.5555555555555554</v>
      </c>
      <c r="J60" s="53">
        <f t="shared" si="24"/>
        <v>3.7777777777777777</v>
      </c>
      <c r="K60" s="53">
        <f t="shared" si="24"/>
        <v>3.5555555555555554</v>
      </c>
      <c r="L60" s="53">
        <f t="shared" si="24"/>
        <v>4.5555555555555554</v>
      </c>
      <c r="M60" s="53">
        <f t="shared" si="24"/>
        <v>3.6666666666666665</v>
      </c>
      <c r="N60" s="53">
        <f t="shared" si="24"/>
        <v>4.4444444444444446</v>
      </c>
      <c r="O60" s="53">
        <f t="shared" si="24"/>
        <v>4.666666666666667</v>
      </c>
      <c r="P60" s="2"/>
      <c r="Q60" s="53"/>
      <c r="AA60" s="51"/>
      <c r="AE60" s="51"/>
      <c r="AF60" s="51"/>
      <c r="AG60" s="51"/>
      <c r="AH60" s="51"/>
      <c r="AI60" s="51"/>
      <c r="AM60" s="60" t="s">
        <v>17</v>
      </c>
      <c r="AN60" s="53">
        <v>3.5833333333333335</v>
      </c>
      <c r="AO60" s="53" t="s">
        <v>99</v>
      </c>
      <c r="AP60" s="53">
        <f>AN60+AN53</f>
        <v>5.1726311744145903</v>
      </c>
    </row>
    <row r="61" spans="1:53" x14ac:dyDescent="0.3">
      <c r="Q61" s="51"/>
      <c r="AA61" s="51"/>
      <c r="AE61" s="51"/>
      <c r="AF61" s="51"/>
      <c r="AG61" s="51"/>
      <c r="AH61" s="51"/>
      <c r="AI61" s="51"/>
      <c r="AM61" s="60" t="s">
        <v>10</v>
      </c>
      <c r="AN61" s="53">
        <v>3.6666666666666665</v>
      </c>
      <c r="AO61" s="53" t="s">
        <v>99</v>
      </c>
      <c r="AP61" s="53">
        <f>AN61+AN53</f>
        <v>5.2559645077479233</v>
      </c>
      <c r="AS61" s="6" t="s">
        <v>97</v>
      </c>
    </row>
    <row r="62" spans="1:53" x14ac:dyDescent="0.3">
      <c r="A62" s="3" t="s">
        <v>18</v>
      </c>
      <c r="B62" s="3" t="s">
        <v>20</v>
      </c>
      <c r="C62" s="87" t="s">
        <v>0</v>
      </c>
      <c r="D62" s="69" t="s">
        <v>1</v>
      </c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5" t="s">
        <v>33</v>
      </c>
      <c r="Q62" s="67" t="s">
        <v>32</v>
      </c>
      <c r="V62" s="65" t="s">
        <v>53</v>
      </c>
      <c r="W62" s="70" t="s">
        <v>54</v>
      </c>
      <c r="X62" s="71"/>
      <c r="Y62" s="72"/>
      <c r="Z62" s="65" t="s">
        <v>33</v>
      </c>
      <c r="AA62" s="67" t="s">
        <v>32</v>
      </c>
      <c r="AC62" s="65" t="s">
        <v>61</v>
      </c>
      <c r="AD62" s="65" t="s">
        <v>62</v>
      </c>
      <c r="AE62" s="67" t="s">
        <v>63</v>
      </c>
      <c r="AF62" s="67" t="s">
        <v>64</v>
      </c>
      <c r="AG62" s="67" t="s">
        <v>65</v>
      </c>
      <c r="AH62" s="64" t="s">
        <v>66</v>
      </c>
      <c r="AI62" s="64"/>
      <c r="AJ62" s="65" t="s">
        <v>67</v>
      </c>
      <c r="AK62" s="65" t="s">
        <v>68</v>
      </c>
      <c r="AM62" s="60" t="s">
        <v>12</v>
      </c>
      <c r="AN62" s="53">
        <v>5.083333333333333</v>
      </c>
      <c r="AO62" s="53" t="s">
        <v>101</v>
      </c>
      <c r="AP62" s="53">
        <f>AN62+AN53</f>
        <v>6.6726311744145903</v>
      </c>
      <c r="AS62" s="65" t="s">
        <v>61</v>
      </c>
      <c r="AT62" s="65" t="s">
        <v>62</v>
      </c>
      <c r="AU62" s="65" t="s">
        <v>63</v>
      </c>
      <c r="AV62" s="65" t="s">
        <v>64</v>
      </c>
      <c r="AW62" s="65" t="s">
        <v>65</v>
      </c>
      <c r="AX62" s="69" t="s">
        <v>66</v>
      </c>
      <c r="AY62" s="69"/>
      <c r="AZ62" s="65" t="s">
        <v>67</v>
      </c>
      <c r="BA62" s="65" t="s">
        <v>68</v>
      </c>
    </row>
    <row r="63" spans="1:53" x14ac:dyDescent="0.3">
      <c r="A63" s="65">
        <v>5</v>
      </c>
      <c r="B63" s="74" t="s">
        <v>40</v>
      </c>
      <c r="C63" s="87"/>
      <c r="D63" s="69" t="s">
        <v>2</v>
      </c>
      <c r="E63" s="69"/>
      <c r="F63" s="69"/>
      <c r="G63" s="69"/>
      <c r="H63" s="69" t="s">
        <v>7</v>
      </c>
      <c r="I63" s="69"/>
      <c r="J63" s="69"/>
      <c r="K63" s="69"/>
      <c r="L63" s="69" t="s">
        <v>8</v>
      </c>
      <c r="M63" s="69"/>
      <c r="N63" s="69"/>
      <c r="O63" s="69"/>
      <c r="P63" s="73"/>
      <c r="Q63" s="77"/>
      <c r="S63" s="6" t="s">
        <v>71</v>
      </c>
      <c r="T63" s="6">
        <v>12</v>
      </c>
      <c r="V63" s="66"/>
      <c r="W63" s="3" t="s">
        <v>55</v>
      </c>
      <c r="X63" s="3" t="s">
        <v>56</v>
      </c>
      <c r="Y63" s="3" t="s">
        <v>57</v>
      </c>
      <c r="Z63" s="66"/>
      <c r="AA63" s="68"/>
      <c r="AC63" s="66"/>
      <c r="AD63" s="66"/>
      <c r="AE63" s="68"/>
      <c r="AF63" s="68"/>
      <c r="AG63" s="68"/>
      <c r="AH63" s="59">
        <v>0.05</v>
      </c>
      <c r="AI63" s="59">
        <v>0.01</v>
      </c>
      <c r="AJ63" s="66"/>
      <c r="AK63" s="66"/>
      <c r="AM63" s="60" t="s">
        <v>14</v>
      </c>
      <c r="AN63" s="53">
        <v>5.75</v>
      </c>
      <c r="AO63" s="53" t="s">
        <v>102</v>
      </c>
      <c r="AP63" s="53">
        <f>AN63+AN53</f>
        <v>7.3392978410812573</v>
      </c>
      <c r="AS63" s="66"/>
      <c r="AT63" s="66"/>
      <c r="AU63" s="66"/>
      <c r="AV63" s="66"/>
      <c r="AW63" s="66"/>
      <c r="AX63" s="42">
        <v>0.05</v>
      </c>
      <c r="AY63" s="42">
        <v>0.01</v>
      </c>
      <c r="AZ63" s="66"/>
      <c r="BA63" s="66"/>
    </row>
    <row r="64" spans="1:53" x14ac:dyDescent="0.3">
      <c r="A64" s="73"/>
      <c r="B64" s="75"/>
      <c r="C64" s="87"/>
      <c r="D64" s="18" t="s">
        <v>3</v>
      </c>
      <c r="E64" s="18" t="s">
        <v>4</v>
      </c>
      <c r="F64" s="18" t="s">
        <v>5</v>
      </c>
      <c r="G64" s="18" t="s">
        <v>6</v>
      </c>
      <c r="H64" s="18" t="s">
        <v>3</v>
      </c>
      <c r="I64" s="18" t="s">
        <v>4</v>
      </c>
      <c r="J64" s="18" t="s">
        <v>5</v>
      </c>
      <c r="K64" s="18" t="s">
        <v>6</v>
      </c>
      <c r="L64" s="18" t="s">
        <v>3</v>
      </c>
      <c r="M64" s="18" t="s">
        <v>4</v>
      </c>
      <c r="N64" s="18" t="s">
        <v>5</v>
      </c>
      <c r="O64" s="18" t="s">
        <v>6</v>
      </c>
      <c r="P64" s="66"/>
      <c r="Q64" s="68"/>
      <c r="S64" s="6" t="s">
        <v>44</v>
      </c>
      <c r="T64" s="6">
        <v>3</v>
      </c>
      <c r="V64" s="3" t="s">
        <v>58</v>
      </c>
      <c r="W64" s="2">
        <f>SUM(D65:O65)</f>
        <v>19</v>
      </c>
      <c r="X64" s="2">
        <f>SUM(D66:O66)</f>
        <v>46</v>
      </c>
      <c r="Y64" s="2">
        <f>SUM(D67:O67)</f>
        <v>48</v>
      </c>
      <c r="Z64" s="2">
        <f>SUM(W64:Y64)</f>
        <v>113</v>
      </c>
      <c r="AA64" s="53">
        <f>AVERAGE(W64:Y64)</f>
        <v>37.666666666666664</v>
      </c>
      <c r="AC64" s="3" t="s">
        <v>43</v>
      </c>
      <c r="AD64" s="2">
        <f>12-1</f>
        <v>11</v>
      </c>
      <c r="AE64" s="53">
        <f>T68</f>
        <v>14.990740740740875</v>
      </c>
      <c r="AF64" s="53">
        <f>AE64/AD64</f>
        <v>1.3627946127946251</v>
      </c>
      <c r="AG64" s="53">
        <f>AF64/AF68</f>
        <v>0.50440065425656688</v>
      </c>
      <c r="AH64" s="53">
        <f>FINV(AH63,AD64,AD68)</f>
        <v>1.8991710184693407</v>
      </c>
      <c r="AI64" s="53">
        <f>FINV(AI63,AD64,AD68)</f>
        <v>2.4560580535880434</v>
      </c>
      <c r="AJ64" s="30" t="s">
        <v>95</v>
      </c>
      <c r="AK64" s="2"/>
      <c r="AM64" s="60" t="s">
        <v>13</v>
      </c>
      <c r="AN64" s="53">
        <v>6.083333333333333</v>
      </c>
      <c r="AO64" s="53" t="s">
        <v>102</v>
      </c>
      <c r="AP64" s="53">
        <f>AN64+AN53</f>
        <v>7.6726311744145903</v>
      </c>
      <c r="AS64" s="3" t="s">
        <v>43</v>
      </c>
      <c r="AT64" s="2">
        <f>12-1</f>
        <v>11</v>
      </c>
      <c r="AU64" s="6">
        <f>SUMSQ(D74:O74)/(3*3)-AT73</f>
        <v>14.990740740740875</v>
      </c>
      <c r="AV64" s="53">
        <f>AU64/AT64</f>
        <v>1.3627946127946251</v>
      </c>
      <c r="AW64" s="53">
        <f>AV64/AV69</f>
        <v>0.50440065425656688</v>
      </c>
      <c r="AX64" s="53">
        <f>FINV(AX63,AT64,AT69)</f>
        <v>1.8991710184693407</v>
      </c>
      <c r="AY64" s="53">
        <f>FINV(AY63,AT64,AT69)</f>
        <v>2.4560580535880434</v>
      </c>
      <c r="AZ64" s="2" t="str">
        <f>IF(AW64&gt;AY64,"**",IF(AW64&gt;AX64,"*","TN"))</f>
        <v>TN</v>
      </c>
      <c r="BA64" s="2" t="str">
        <f>IF(AZ64="TN","Tidak Nyata",IF(AZ64="*","Nyata",IF(AZ64="**","Sangat Nyata",0)))</f>
        <v>Tidak Nyata</v>
      </c>
    </row>
    <row r="65" spans="1:53" ht="15.5" x14ac:dyDescent="0.3">
      <c r="A65" s="73"/>
      <c r="B65" s="75"/>
      <c r="C65" s="21" t="s">
        <v>9</v>
      </c>
      <c r="D65" s="26">
        <v>2</v>
      </c>
      <c r="E65" s="26">
        <v>1</v>
      </c>
      <c r="F65" s="26">
        <v>0</v>
      </c>
      <c r="G65" s="26">
        <v>2</v>
      </c>
      <c r="H65" s="26">
        <v>3</v>
      </c>
      <c r="I65" s="26">
        <v>2</v>
      </c>
      <c r="J65" s="26">
        <v>3</v>
      </c>
      <c r="K65" s="26">
        <v>1</v>
      </c>
      <c r="L65" s="26">
        <v>0</v>
      </c>
      <c r="M65" s="26">
        <v>2</v>
      </c>
      <c r="N65" s="26">
        <v>1</v>
      </c>
      <c r="O65" s="26">
        <v>2</v>
      </c>
      <c r="P65" s="22">
        <f>SUM(D65:O65)</f>
        <v>19</v>
      </c>
      <c r="Q65" s="53">
        <f>AVERAGE(D65:O65)</f>
        <v>1.5833333333333333</v>
      </c>
      <c r="S65" s="6" t="s">
        <v>45</v>
      </c>
      <c r="T65" s="6">
        <v>3</v>
      </c>
      <c r="V65" s="3" t="s">
        <v>59</v>
      </c>
      <c r="W65" s="2">
        <f>SUM(D68:O68)</f>
        <v>82</v>
      </c>
      <c r="X65" s="2">
        <f>SUM(D69:O69)</f>
        <v>75</v>
      </c>
      <c r="Y65" s="2">
        <f>SUM(D70:O70)</f>
        <v>80</v>
      </c>
      <c r="Z65" s="2">
        <f>SUM(W65:Y65)</f>
        <v>237</v>
      </c>
      <c r="AA65" s="53">
        <f>AVERAGE(W65:Y65)</f>
        <v>79</v>
      </c>
      <c r="AC65" s="3" t="s">
        <v>45</v>
      </c>
      <c r="AD65" s="2">
        <f>3-1</f>
        <v>2</v>
      </c>
      <c r="AE65" s="53">
        <f>T69</f>
        <v>1.9074074074073906</v>
      </c>
      <c r="AF65" s="53">
        <f>AE65/AD65</f>
        <v>0.95370370370369528</v>
      </c>
      <c r="AG65" s="53">
        <f>AF65/AF68</f>
        <v>0.35298699275644224</v>
      </c>
      <c r="AH65" s="53">
        <f>FINV(AH63,AD65,AD68)</f>
        <v>3.1000686386371408</v>
      </c>
      <c r="AI65" s="53">
        <f>FINV(AI63,AD65,AD68)</f>
        <v>4.8547979993760721</v>
      </c>
      <c r="AJ65" s="30" t="s">
        <v>95</v>
      </c>
      <c r="AK65" s="2"/>
      <c r="AM65" s="51"/>
      <c r="AN65" s="51"/>
      <c r="AO65" s="51"/>
      <c r="AP65" s="51"/>
      <c r="AS65" s="3" t="s">
        <v>98</v>
      </c>
      <c r="AT65" s="2">
        <f>3*3-1</f>
        <v>8</v>
      </c>
      <c r="AU65" s="53">
        <f>SUMSQ(P65:P73)/12-AT73</f>
        <v>528.46296296296305</v>
      </c>
      <c r="AV65" s="53">
        <f t="shared" ref="AV65:AV69" si="25">AU65/AT65</f>
        <v>66.057870370370381</v>
      </c>
      <c r="AW65" s="53">
        <f>AV65/AV69</f>
        <v>24.449489835656998</v>
      </c>
      <c r="AX65" s="53">
        <f>FINV(AX63,AT65,AT69)</f>
        <v>2.0454143150341193</v>
      </c>
      <c r="AY65" s="53">
        <f>FINV(AY63,AT65,AT69)</f>
        <v>2.720181875728696</v>
      </c>
      <c r="AZ65" s="2" t="str">
        <f>IF(AW65&gt;AY65,"**",IF(AW65&gt;AX65,"*","TN"))</f>
        <v>**</v>
      </c>
      <c r="BA65" s="2" t="str">
        <f t="shared" ref="BA65:BA68" si="26">IF(AZ65="TN","Tidak Nyata",IF(AZ65="*","Nyata",IF(AZ65="**","Sangat Nyata",0)))</f>
        <v>Sangat Nyata</v>
      </c>
    </row>
    <row r="66" spans="1:53" ht="15.5" x14ac:dyDescent="0.3">
      <c r="A66" s="73"/>
      <c r="B66" s="75"/>
      <c r="C66" s="21" t="s">
        <v>10</v>
      </c>
      <c r="D66" s="26">
        <v>3</v>
      </c>
      <c r="E66" s="26">
        <v>0</v>
      </c>
      <c r="F66" s="26">
        <v>4</v>
      </c>
      <c r="G66" s="26">
        <v>6</v>
      </c>
      <c r="H66" s="26">
        <v>7</v>
      </c>
      <c r="I66" s="26">
        <v>4</v>
      </c>
      <c r="J66" s="26">
        <v>5</v>
      </c>
      <c r="K66" s="26">
        <v>3</v>
      </c>
      <c r="L66" s="26">
        <v>0</v>
      </c>
      <c r="M66" s="26">
        <v>5</v>
      </c>
      <c r="N66" s="26">
        <v>6</v>
      </c>
      <c r="O66" s="26">
        <v>3</v>
      </c>
      <c r="P66" s="22">
        <f t="shared" ref="P66:P74" si="27">SUM(D66:O66)</f>
        <v>46</v>
      </c>
      <c r="Q66" s="53">
        <f t="shared" ref="Q66:Q73" si="28">AVERAGE(D66:O66)</f>
        <v>3.8333333333333335</v>
      </c>
      <c r="S66" s="6" t="s">
        <v>46</v>
      </c>
      <c r="T66" s="51">
        <f>(P74^2)/(12*3*3)</f>
        <v>1533.787037037037</v>
      </c>
      <c r="V66" s="3" t="s">
        <v>60</v>
      </c>
      <c r="W66" s="2">
        <f>SUM(D71:O71)</f>
        <v>28</v>
      </c>
      <c r="X66" s="2">
        <f>SUM(D72:O72)</f>
        <v>17</v>
      </c>
      <c r="Y66" s="2">
        <f>SUM(D73:O73)</f>
        <v>12</v>
      </c>
      <c r="Z66" s="2">
        <f>SUM(W66:Y66)</f>
        <v>57</v>
      </c>
      <c r="AA66" s="53">
        <f>AVERAGE(W66:Y66)</f>
        <v>19</v>
      </c>
      <c r="AC66" s="3" t="s">
        <v>44</v>
      </c>
      <c r="AD66" s="2">
        <f>3-1</f>
        <v>2</v>
      </c>
      <c r="AE66" s="53">
        <f>T70</f>
        <v>471.40740740740739</v>
      </c>
      <c r="AF66" s="53">
        <f>AE66/AD66</f>
        <v>235.7037037037037</v>
      </c>
      <c r="AG66" s="53">
        <f>AF66/AF68</f>
        <v>87.239193083573525</v>
      </c>
      <c r="AH66" s="53">
        <f>FINV(AH63,AD66,AD68)</f>
        <v>3.1000686386371408</v>
      </c>
      <c r="AI66" s="53">
        <f>FINV(AI63,AD66,AD68)</f>
        <v>4.8547979993760721</v>
      </c>
      <c r="AJ66" s="30" t="s">
        <v>72</v>
      </c>
      <c r="AK66" s="2"/>
      <c r="AM66" s="80" t="s">
        <v>80</v>
      </c>
      <c r="AN66" s="80"/>
      <c r="AO66" s="51"/>
      <c r="AP66" s="51"/>
      <c r="AS66" s="3" t="s">
        <v>45</v>
      </c>
      <c r="AT66" s="2">
        <f>3-1</f>
        <v>2</v>
      </c>
      <c r="AU66" s="53">
        <f>SUMSQ(W67:Y67)/(3*12)-AT73</f>
        <v>1.9074074074073906</v>
      </c>
      <c r="AV66" s="53">
        <f t="shared" si="25"/>
        <v>0.95370370370369528</v>
      </c>
      <c r="AW66" s="53">
        <f>AV66/AV69</f>
        <v>0.35298699275644224</v>
      </c>
      <c r="AX66" s="53">
        <f>FINV(AX63,AT66,AT69)</f>
        <v>3.1000686386371408</v>
      </c>
      <c r="AY66" s="53">
        <f>FINV(AY63,AT66,AT69)</f>
        <v>4.8547979993760721</v>
      </c>
      <c r="AZ66" s="2" t="str">
        <f>IF(AW66&gt;AY66,"**",IF(AW66&gt;AX66,"*","TN"))</f>
        <v>TN</v>
      </c>
      <c r="BA66" s="2" t="str">
        <f t="shared" si="26"/>
        <v>Tidak Nyata</v>
      </c>
    </row>
    <row r="67" spans="1:53" ht="15.5" x14ac:dyDescent="0.3">
      <c r="A67" s="73"/>
      <c r="B67" s="75"/>
      <c r="C67" s="21" t="s">
        <v>11</v>
      </c>
      <c r="D67" s="26">
        <v>3</v>
      </c>
      <c r="E67" s="26">
        <v>5</v>
      </c>
      <c r="F67" s="26">
        <v>3</v>
      </c>
      <c r="G67" s="26">
        <v>6</v>
      </c>
      <c r="H67" s="26">
        <v>4</v>
      </c>
      <c r="I67" s="26">
        <v>7</v>
      </c>
      <c r="J67" s="26">
        <v>0</v>
      </c>
      <c r="K67" s="26">
        <v>6</v>
      </c>
      <c r="L67" s="26">
        <v>4</v>
      </c>
      <c r="M67" s="26">
        <v>5</v>
      </c>
      <c r="N67" s="26">
        <v>3</v>
      </c>
      <c r="O67" s="26">
        <v>2</v>
      </c>
      <c r="P67" s="22">
        <f t="shared" si="27"/>
        <v>48</v>
      </c>
      <c r="Q67" s="53">
        <f t="shared" si="28"/>
        <v>4</v>
      </c>
      <c r="S67" s="6" t="s">
        <v>47</v>
      </c>
      <c r="T67" s="51">
        <f>SUMSQ(D65:O73)-T66</f>
        <v>781.21296296296305</v>
      </c>
      <c r="V67" s="3" t="s">
        <v>33</v>
      </c>
      <c r="W67" s="2">
        <f>SUM(W64:W66)</f>
        <v>129</v>
      </c>
      <c r="X67" s="2">
        <f>SUM(X64:X66)</f>
        <v>138</v>
      </c>
      <c r="Y67" s="2">
        <f>SUM(Y64:Y66)</f>
        <v>140</v>
      </c>
      <c r="Z67" s="2">
        <f>SUM(W67:Y67)</f>
        <v>407</v>
      </c>
      <c r="AA67" s="53">
        <f>AVERAGE(W67:Y67)</f>
        <v>135.66666666666666</v>
      </c>
      <c r="AC67" s="3" t="s">
        <v>69</v>
      </c>
      <c r="AD67" s="2">
        <f>(3-1)*(3-1)</f>
        <v>4</v>
      </c>
      <c r="AE67" s="53">
        <f>T71</f>
        <v>55.148148148148266</v>
      </c>
      <c r="AF67" s="53">
        <f>AE67/AD67</f>
        <v>13.787037037037067</v>
      </c>
      <c r="AG67" s="53">
        <f>AF67/AF68</f>
        <v>5.1028896331490126</v>
      </c>
      <c r="AH67" s="53">
        <f>FINV(AH63,AD67,AD68)</f>
        <v>2.4752774088696223</v>
      </c>
      <c r="AI67" s="53">
        <f>FINV(AI63,AD67,AD68)</f>
        <v>3.5400845421240663</v>
      </c>
      <c r="AJ67" s="30" t="s">
        <v>72</v>
      </c>
      <c r="AK67" s="2"/>
      <c r="AM67" s="54" t="s">
        <v>74</v>
      </c>
      <c r="AN67" s="54">
        <f>SQRT(AF68/12)</f>
        <v>0.47450059398538191</v>
      </c>
      <c r="AO67" s="56"/>
      <c r="AP67" s="55" t="s">
        <v>88</v>
      </c>
      <c r="AS67" s="3" t="s">
        <v>44</v>
      </c>
      <c r="AT67" s="2">
        <f>3-1</f>
        <v>2</v>
      </c>
      <c r="AU67" s="53">
        <f>SUMSQ(Z64:Z66)/(3*12)-AT73</f>
        <v>471.40740740740739</v>
      </c>
      <c r="AV67" s="53">
        <f t="shared" si="25"/>
        <v>235.7037037037037</v>
      </c>
      <c r="AW67" s="53">
        <f>AV67/AV69</f>
        <v>87.239193083573525</v>
      </c>
      <c r="AX67" s="53">
        <f>FINV(AX63,AT67,AT69)</f>
        <v>3.1000686386371408</v>
      </c>
      <c r="AY67" s="53">
        <f>FINV(AY63,AT67,AT69)</f>
        <v>4.8547979993760721</v>
      </c>
      <c r="AZ67" s="2" t="str">
        <f>IF(AW67&gt;AY67,"**",IF(AW67&gt;AX67,"*","TN"))</f>
        <v>**</v>
      </c>
      <c r="BA67" s="2" t="str">
        <f t="shared" si="26"/>
        <v>Sangat Nyata</v>
      </c>
    </row>
    <row r="68" spans="1:53" ht="15.5" x14ac:dyDescent="0.3">
      <c r="A68" s="73"/>
      <c r="B68" s="75"/>
      <c r="C68" s="21" t="s">
        <v>12</v>
      </c>
      <c r="D68" s="27">
        <v>5</v>
      </c>
      <c r="E68" s="27">
        <v>6</v>
      </c>
      <c r="F68" s="27">
        <v>5</v>
      </c>
      <c r="G68" s="27">
        <v>7</v>
      </c>
      <c r="H68" s="27">
        <v>6</v>
      </c>
      <c r="I68" s="27">
        <v>8</v>
      </c>
      <c r="J68" s="27">
        <v>7</v>
      </c>
      <c r="K68" s="27">
        <v>8</v>
      </c>
      <c r="L68" s="27">
        <v>8</v>
      </c>
      <c r="M68" s="27">
        <v>7</v>
      </c>
      <c r="N68" s="27">
        <v>7</v>
      </c>
      <c r="O68" s="27">
        <v>8</v>
      </c>
      <c r="P68" s="22">
        <f t="shared" si="27"/>
        <v>82</v>
      </c>
      <c r="Q68" s="53">
        <f t="shared" si="28"/>
        <v>6.833333333333333</v>
      </c>
      <c r="S68" s="6" t="s">
        <v>48</v>
      </c>
      <c r="T68" s="51">
        <f>(SUMSQ(D74:O74)/(3*3))-T66</f>
        <v>14.990740740740875</v>
      </c>
      <c r="V68" s="3" t="s">
        <v>32</v>
      </c>
      <c r="W68" s="53">
        <f>AVERAGE(W64:W66)</f>
        <v>43</v>
      </c>
      <c r="X68" s="53">
        <f>AVERAGE(X64:X66)</f>
        <v>46</v>
      </c>
      <c r="Y68" s="53">
        <f>AVERAGE(Y64:Y66)</f>
        <v>46.666666666666664</v>
      </c>
      <c r="Z68" s="2"/>
      <c r="AA68" s="53"/>
      <c r="AC68" s="3" t="s">
        <v>70</v>
      </c>
      <c r="AD68" s="2">
        <f>((3*3)-1)*(12-1)</f>
        <v>88</v>
      </c>
      <c r="AE68" s="53">
        <f>T72</f>
        <v>237.75925925925912</v>
      </c>
      <c r="AF68" s="53">
        <f>AE68/AD68</f>
        <v>2.7018097643097629</v>
      </c>
      <c r="AG68" s="53"/>
      <c r="AH68" s="53"/>
      <c r="AI68" s="53"/>
      <c r="AJ68" s="2"/>
      <c r="AK68" s="2"/>
      <c r="AM68" s="53" t="s">
        <v>75</v>
      </c>
      <c r="AN68" s="54">
        <v>4.46</v>
      </c>
      <c r="AO68" s="51"/>
      <c r="AP68" s="51"/>
      <c r="AS68" s="3" t="s">
        <v>69</v>
      </c>
      <c r="AT68" s="2">
        <f>AT66*AT67</f>
        <v>4</v>
      </c>
      <c r="AU68" s="53">
        <f>AU65-AU66-AU67</f>
        <v>55.148148148148266</v>
      </c>
      <c r="AV68" s="53">
        <f t="shared" si="25"/>
        <v>13.787037037037067</v>
      </c>
      <c r="AW68" s="53">
        <f>AV68/AV69</f>
        <v>5.1028896331490126</v>
      </c>
      <c r="AX68" s="53">
        <f>FINV(AX63,AT68,AT69)</f>
        <v>2.4752774088696223</v>
      </c>
      <c r="AY68" s="53">
        <f>FINV(AY63,AT68,AT69)</f>
        <v>3.5400845421240663</v>
      </c>
      <c r="AZ68" s="2" t="str">
        <f>IF(AW68&gt;AY68,"**",IF(AW68&gt;AX68,"*","TN"))</f>
        <v>**</v>
      </c>
      <c r="BA68" s="2" t="str">
        <f t="shared" si="26"/>
        <v>Sangat Nyata</v>
      </c>
    </row>
    <row r="69" spans="1:53" ht="15.5" x14ac:dyDescent="0.3">
      <c r="A69" s="73"/>
      <c r="B69" s="75"/>
      <c r="C69" s="21" t="s">
        <v>13</v>
      </c>
      <c r="D69" s="27">
        <v>5</v>
      </c>
      <c r="E69" s="27">
        <v>7</v>
      </c>
      <c r="F69" s="27">
        <v>7</v>
      </c>
      <c r="G69" s="27">
        <v>8</v>
      </c>
      <c r="H69" s="27">
        <v>3</v>
      </c>
      <c r="I69" s="27">
        <v>5</v>
      </c>
      <c r="J69" s="27">
        <v>4</v>
      </c>
      <c r="K69" s="27">
        <v>7</v>
      </c>
      <c r="L69" s="27">
        <v>6</v>
      </c>
      <c r="M69" s="27">
        <v>8</v>
      </c>
      <c r="N69" s="27">
        <v>7</v>
      </c>
      <c r="O69" s="27">
        <v>8</v>
      </c>
      <c r="P69" s="22">
        <f t="shared" si="27"/>
        <v>75</v>
      </c>
      <c r="Q69" s="53">
        <f t="shared" si="28"/>
        <v>6.25</v>
      </c>
      <c r="S69" s="6" t="s">
        <v>50</v>
      </c>
      <c r="T69" s="51">
        <f>(SUMSQ(W67:Y67)/(12*3))-T66</f>
        <v>1.9074074074073906</v>
      </c>
      <c r="AA69" s="51"/>
      <c r="AC69" s="3" t="s">
        <v>33</v>
      </c>
      <c r="AD69" s="2">
        <f>(3*3*12)-1</f>
        <v>107</v>
      </c>
      <c r="AE69" s="53">
        <f>T67</f>
        <v>781.21296296296305</v>
      </c>
      <c r="AF69" s="53"/>
      <c r="AG69" s="53"/>
      <c r="AH69" s="53"/>
      <c r="AI69" s="53"/>
      <c r="AJ69" s="2"/>
      <c r="AK69" s="2"/>
      <c r="AM69" s="53" t="s">
        <v>76</v>
      </c>
      <c r="AN69" s="54">
        <f>AN68*AN67</f>
        <v>2.1162726491748032</v>
      </c>
      <c r="AO69" s="51"/>
      <c r="AP69" s="51"/>
      <c r="AS69" s="3" t="s">
        <v>70</v>
      </c>
      <c r="AT69" s="2">
        <f>AT70-AT64-AT65</f>
        <v>88</v>
      </c>
      <c r="AU69" s="53">
        <f>AU70-AU64-AU65</f>
        <v>237.75925925925912</v>
      </c>
      <c r="AV69" s="53">
        <f t="shared" si="25"/>
        <v>2.7018097643097629</v>
      </c>
      <c r="AW69" s="53"/>
      <c r="AX69" s="53"/>
      <c r="AY69" s="53"/>
      <c r="AZ69" s="2"/>
      <c r="BA69" s="2"/>
    </row>
    <row r="70" spans="1:53" ht="15.5" x14ac:dyDescent="0.3">
      <c r="A70" s="73"/>
      <c r="B70" s="75"/>
      <c r="C70" s="21" t="s">
        <v>14</v>
      </c>
      <c r="D70" s="27">
        <v>8</v>
      </c>
      <c r="E70" s="27">
        <v>6</v>
      </c>
      <c r="F70" s="27">
        <v>5</v>
      </c>
      <c r="G70" s="27">
        <v>7</v>
      </c>
      <c r="H70" s="27">
        <v>5</v>
      </c>
      <c r="I70" s="27">
        <v>6</v>
      </c>
      <c r="J70" s="27">
        <v>8</v>
      </c>
      <c r="K70" s="27">
        <v>5</v>
      </c>
      <c r="L70" s="27">
        <v>8</v>
      </c>
      <c r="M70" s="27">
        <v>6</v>
      </c>
      <c r="N70" s="27">
        <v>9</v>
      </c>
      <c r="O70" s="27">
        <v>7</v>
      </c>
      <c r="P70" s="22">
        <f t="shared" si="27"/>
        <v>80</v>
      </c>
      <c r="Q70" s="53">
        <f t="shared" si="28"/>
        <v>6.666666666666667</v>
      </c>
      <c r="S70" s="6" t="s">
        <v>49</v>
      </c>
      <c r="T70" s="51">
        <f>(SUMSQ(Z64:Z66)/(12*3))-T66</f>
        <v>471.40740740740739</v>
      </c>
      <c r="AA70" s="51"/>
      <c r="AE70" s="51"/>
      <c r="AF70" s="51"/>
      <c r="AG70" s="51"/>
      <c r="AH70" s="51"/>
      <c r="AI70" s="51"/>
      <c r="AM70" s="51"/>
      <c r="AN70" s="51"/>
      <c r="AO70" s="51"/>
      <c r="AP70" s="51"/>
      <c r="AS70" s="3" t="s">
        <v>33</v>
      </c>
      <c r="AT70" s="2">
        <f>(3*3*12)-1</f>
        <v>107</v>
      </c>
      <c r="AU70" s="53">
        <f>SUMSQ(D65:O73)-AT73</f>
        <v>781.21296296296305</v>
      </c>
      <c r="AV70" s="53"/>
      <c r="AW70" s="53"/>
      <c r="AX70" s="53"/>
      <c r="AY70" s="53"/>
      <c r="AZ70" s="2"/>
      <c r="BA70" s="2"/>
    </row>
    <row r="71" spans="1:53" ht="15.5" x14ac:dyDescent="0.3">
      <c r="A71" s="73"/>
      <c r="B71" s="75"/>
      <c r="C71" s="21" t="s">
        <v>15</v>
      </c>
      <c r="D71" s="26">
        <v>3</v>
      </c>
      <c r="E71" s="26">
        <v>3</v>
      </c>
      <c r="F71" s="26">
        <v>4</v>
      </c>
      <c r="G71" s="26">
        <v>2</v>
      </c>
      <c r="H71" s="26">
        <v>0</v>
      </c>
      <c r="I71" s="26">
        <v>3</v>
      </c>
      <c r="J71" s="26">
        <v>4</v>
      </c>
      <c r="K71" s="26">
        <v>2</v>
      </c>
      <c r="L71" s="26">
        <v>2</v>
      </c>
      <c r="M71" s="26">
        <v>3</v>
      </c>
      <c r="N71" s="26">
        <v>2</v>
      </c>
      <c r="O71" s="26">
        <v>0</v>
      </c>
      <c r="P71" s="22">
        <f t="shared" si="27"/>
        <v>28</v>
      </c>
      <c r="Q71" s="53">
        <f t="shared" si="28"/>
        <v>2.3333333333333335</v>
      </c>
      <c r="S71" s="6" t="s">
        <v>51</v>
      </c>
      <c r="T71" s="51">
        <f>(SUMSQ(W64:Y66)/(12))-T66-T69-T70</f>
        <v>55.148148148148266</v>
      </c>
      <c r="AA71" s="51"/>
      <c r="AE71" s="51"/>
      <c r="AF71" s="51"/>
      <c r="AG71" s="51"/>
      <c r="AH71" s="51"/>
      <c r="AI71" s="51"/>
      <c r="AM71" s="54" t="s">
        <v>0</v>
      </c>
      <c r="AN71" s="54" t="s">
        <v>32</v>
      </c>
      <c r="AO71" s="54" t="s">
        <v>67</v>
      </c>
      <c r="AP71" s="54" t="s">
        <v>77</v>
      </c>
    </row>
    <row r="72" spans="1:53" ht="15.5" x14ac:dyDescent="0.3">
      <c r="A72" s="73"/>
      <c r="B72" s="75"/>
      <c r="C72" s="21" t="s">
        <v>16</v>
      </c>
      <c r="D72" s="26">
        <v>0</v>
      </c>
      <c r="E72" s="26">
        <v>0</v>
      </c>
      <c r="F72" s="26">
        <v>4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4</v>
      </c>
      <c r="M72" s="26">
        <v>4</v>
      </c>
      <c r="N72" s="26">
        <v>3</v>
      </c>
      <c r="O72" s="26">
        <v>2</v>
      </c>
      <c r="P72" s="22">
        <f t="shared" si="27"/>
        <v>17</v>
      </c>
      <c r="Q72" s="53">
        <f t="shared" si="28"/>
        <v>1.4166666666666667</v>
      </c>
      <c r="S72" s="6" t="s">
        <v>52</v>
      </c>
      <c r="T72" s="51">
        <f>T67-T68-T69-T70-T71</f>
        <v>237.75925925925912</v>
      </c>
      <c r="AA72" s="51"/>
      <c r="AE72" s="51"/>
      <c r="AF72" s="51"/>
      <c r="AG72" s="51"/>
      <c r="AH72" s="51"/>
      <c r="AI72" s="51"/>
      <c r="AM72" s="60" t="s">
        <v>17</v>
      </c>
      <c r="AN72" s="53">
        <v>1</v>
      </c>
      <c r="AO72" s="53" t="s">
        <v>93</v>
      </c>
      <c r="AP72" s="53">
        <f>AN72+AN69</f>
        <v>3.1162726491748032</v>
      </c>
    </row>
    <row r="73" spans="1:53" ht="15.5" x14ac:dyDescent="0.3">
      <c r="A73" s="73"/>
      <c r="B73" s="75"/>
      <c r="C73" s="21" t="s">
        <v>17</v>
      </c>
      <c r="D73" s="26">
        <v>4</v>
      </c>
      <c r="E73" s="26">
        <v>2</v>
      </c>
      <c r="F73" s="26">
        <v>0</v>
      </c>
      <c r="G73" s="26">
        <v>0</v>
      </c>
      <c r="H73" s="26">
        <v>3</v>
      </c>
      <c r="I73" s="26">
        <v>3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2">
        <f t="shared" si="27"/>
        <v>12</v>
      </c>
      <c r="Q73" s="53">
        <f t="shared" si="28"/>
        <v>1</v>
      </c>
      <c r="AA73" s="51"/>
      <c r="AE73" s="51"/>
      <c r="AF73" s="51"/>
      <c r="AG73" s="51"/>
      <c r="AH73" s="51"/>
      <c r="AI73" s="51"/>
      <c r="AM73" s="60" t="s">
        <v>16</v>
      </c>
      <c r="AN73" s="53">
        <v>1.4166666666666667</v>
      </c>
      <c r="AO73" s="53" t="s">
        <v>93</v>
      </c>
      <c r="AP73" s="53">
        <f>AN73+AN69</f>
        <v>3.5329393158414701</v>
      </c>
      <c r="AS73" s="2" t="s">
        <v>46</v>
      </c>
      <c r="AT73" s="53">
        <f>P74^2/(3*3*12)</f>
        <v>1533.787037037037</v>
      </c>
    </row>
    <row r="74" spans="1:53" x14ac:dyDescent="0.3">
      <c r="A74" s="73"/>
      <c r="B74" s="75"/>
      <c r="C74" s="20" t="s">
        <v>33</v>
      </c>
      <c r="D74" s="23">
        <f>SUM(D65:D73)</f>
        <v>33</v>
      </c>
      <c r="E74" s="23">
        <f t="shared" ref="E74:N74" si="29">SUM(E65:E73)</f>
        <v>30</v>
      </c>
      <c r="F74" s="23">
        <f t="shared" si="29"/>
        <v>32</v>
      </c>
      <c r="G74" s="23">
        <f t="shared" si="29"/>
        <v>38</v>
      </c>
      <c r="H74" s="23">
        <f t="shared" si="29"/>
        <v>31</v>
      </c>
      <c r="I74" s="23">
        <f t="shared" si="29"/>
        <v>38</v>
      </c>
      <c r="J74" s="23">
        <f t="shared" si="29"/>
        <v>31</v>
      </c>
      <c r="K74" s="23">
        <f t="shared" si="29"/>
        <v>32</v>
      </c>
      <c r="L74" s="23">
        <f t="shared" si="29"/>
        <v>32</v>
      </c>
      <c r="M74" s="23">
        <f t="shared" si="29"/>
        <v>40</v>
      </c>
      <c r="N74" s="23">
        <f t="shared" si="29"/>
        <v>38</v>
      </c>
      <c r="O74" s="23">
        <f>SUM(O65:O73)</f>
        <v>32</v>
      </c>
      <c r="P74" s="22">
        <f t="shared" si="27"/>
        <v>407</v>
      </c>
      <c r="Q74" s="53"/>
      <c r="AA74" s="51"/>
      <c r="AE74" s="51"/>
      <c r="AF74" s="51"/>
      <c r="AG74" s="51"/>
      <c r="AH74" s="51"/>
      <c r="AI74" s="51"/>
      <c r="AM74" s="60" t="s">
        <v>9</v>
      </c>
      <c r="AN74" s="53">
        <v>1.5833333333333333</v>
      </c>
      <c r="AO74" s="53" t="s">
        <v>93</v>
      </c>
      <c r="AP74" s="53">
        <f>AN74+AN69</f>
        <v>3.6996059825081362</v>
      </c>
    </row>
    <row r="75" spans="1:53" x14ac:dyDescent="0.3">
      <c r="A75" s="66"/>
      <c r="B75" s="76"/>
      <c r="C75" s="20" t="s">
        <v>32</v>
      </c>
      <c r="D75" s="53">
        <f>AVERAGE(D65:D73)</f>
        <v>3.6666666666666665</v>
      </c>
      <c r="E75" s="53">
        <f t="shared" ref="E75:O75" si="30">AVERAGE(E65:E73)</f>
        <v>3.3333333333333335</v>
      </c>
      <c r="F75" s="53">
        <f t="shared" si="30"/>
        <v>3.5555555555555554</v>
      </c>
      <c r="G75" s="53">
        <f t="shared" si="30"/>
        <v>4.2222222222222223</v>
      </c>
      <c r="H75" s="53">
        <f t="shared" si="30"/>
        <v>3.4444444444444446</v>
      </c>
      <c r="I75" s="53">
        <f t="shared" si="30"/>
        <v>4.2222222222222223</v>
      </c>
      <c r="J75" s="53">
        <f t="shared" si="30"/>
        <v>3.4444444444444446</v>
      </c>
      <c r="K75" s="53">
        <f t="shared" si="30"/>
        <v>3.5555555555555554</v>
      </c>
      <c r="L75" s="53">
        <f t="shared" si="30"/>
        <v>3.5555555555555554</v>
      </c>
      <c r="M75" s="53">
        <f t="shared" si="30"/>
        <v>4.4444444444444446</v>
      </c>
      <c r="N75" s="53">
        <f t="shared" si="30"/>
        <v>4.2222222222222223</v>
      </c>
      <c r="O75" s="53">
        <f t="shared" si="30"/>
        <v>3.5555555555555554</v>
      </c>
      <c r="P75" s="2"/>
      <c r="Q75" s="53"/>
      <c r="AA75" s="51"/>
      <c r="AE75" s="51"/>
      <c r="AF75" s="51"/>
      <c r="AG75" s="51"/>
      <c r="AH75" s="51"/>
      <c r="AI75" s="51"/>
      <c r="AM75" s="60" t="s">
        <v>15</v>
      </c>
      <c r="AN75" s="53">
        <v>2.3333333333333335</v>
      </c>
      <c r="AO75" s="53" t="s">
        <v>99</v>
      </c>
      <c r="AP75" s="53">
        <f>AN75+AN69</f>
        <v>4.4496059825081371</v>
      </c>
    </row>
    <row r="76" spans="1:53" x14ac:dyDescent="0.3">
      <c r="Q76" s="51"/>
      <c r="AA76" s="51"/>
      <c r="AE76" s="51"/>
      <c r="AF76" s="51"/>
      <c r="AG76" s="51"/>
      <c r="AH76" s="51"/>
      <c r="AI76" s="51"/>
      <c r="AM76" s="60" t="s">
        <v>10</v>
      </c>
      <c r="AN76" s="53">
        <v>3.8333333333333335</v>
      </c>
      <c r="AO76" s="53" t="s">
        <v>94</v>
      </c>
      <c r="AP76" s="53">
        <f>AN76+AN69</f>
        <v>5.9496059825081371</v>
      </c>
      <c r="AS76" s="6" t="s">
        <v>97</v>
      </c>
    </row>
    <row r="77" spans="1:53" x14ac:dyDescent="0.3">
      <c r="A77" s="3" t="s">
        <v>18</v>
      </c>
      <c r="B77" s="3" t="s">
        <v>20</v>
      </c>
      <c r="C77" s="87" t="s">
        <v>0</v>
      </c>
      <c r="D77" s="69" t="s">
        <v>1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5" t="s">
        <v>33</v>
      </c>
      <c r="Q77" s="67" t="s">
        <v>32</v>
      </c>
      <c r="V77" s="65" t="s">
        <v>53</v>
      </c>
      <c r="W77" s="70" t="s">
        <v>54</v>
      </c>
      <c r="X77" s="71"/>
      <c r="Y77" s="72"/>
      <c r="Z77" s="65" t="s">
        <v>33</v>
      </c>
      <c r="AA77" s="67" t="s">
        <v>32</v>
      </c>
      <c r="AC77" s="65" t="s">
        <v>61</v>
      </c>
      <c r="AD77" s="65" t="s">
        <v>62</v>
      </c>
      <c r="AE77" s="67" t="s">
        <v>63</v>
      </c>
      <c r="AF77" s="67" t="s">
        <v>64</v>
      </c>
      <c r="AG77" s="67" t="s">
        <v>65</v>
      </c>
      <c r="AH77" s="64" t="s">
        <v>66</v>
      </c>
      <c r="AI77" s="64"/>
      <c r="AJ77" s="65" t="s">
        <v>67</v>
      </c>
      <c r="AK77" s="65" t="s">
        <v>68</v>
      </c>
      <c r="AM77" s="60" t="s">
        <v>11</v>
      </c>
      <c r="AN77" s="53">
        <v>4</v>
      </c>
      <c r="AO77" s="53" t="s">
        <v>94</v>
      </c>
      <c r="AP77" s="53">
        <f>AN77+AN69</f>
        <v>6.1162726491748032</v>
      </c>
      <c r="AS77" s="65" t="s">
        <v>61</v>
      </c>
      <c r="AT77" s="65" t="s">
        <v>62</v>
      </c>
      <c r="AU77" s="65" t="s">
        <v>63</v>
      </c>
      <c r="AV77" s="65" t="s">
        <v>64</v>
      </c>
      <c r="AW77" s="65" t="s">
        <v>65</v>
      </c>
      <c r="AX77" s="69" t="s">
        <v>66</v>
      </c>
      <c r="AY77" s="69"/>
      <c r="AZ77" s="65" t="s">
        <v>67</v>
      </c>
      <c r="BA77" s="65" t="s">
        <v>68</v>
      </c>
    </row>
    <row r="78" spans="1:53" x14ac:dyDescent="0.3">
      <c r="A78" s="65">
        <v>6</v>
      </c>
      <c r="B78" s="74" t="s">
        <v>41</v>
      </c>
      <c r="C78" s="87"/>
      <c r="D78" s="69" t="s">
        <v>2</v>
      </c>
      <c r="E78" s="69"/>
      <c r="F78" s="69"/>
      <c r="G78" s="69"/>
      <c r="H78" s="69" t="s">
        <v>7</v>
      </c>
      <c r="I78" s="69"/>
      <c r="J78" s="69"/>
      <c r="K78" s="69"/>
      <c r="L78" s="69" t="s">
        <v>8</v>
      </c>
      <c r="M78" s="69"/>
      <c r="N78" s="69"/>
      <c r="O78" s="69"/>
      <c r="P78" s="73"/>
      <c r="Q78" s="77"/>
      <c r="S78" s="6" t="s">
        <v>71</v>
      </c>
      <c r="T78" s="6">
        <v>12</v>
      </c>
      <c r="V78" s="66"/>
      <c r="W78" s="3" t="s">
        <v>55</v>
      </c>
      <c r="X78" s="3" t="s">
        <v>56</v>
      </c>
      <c r="Y78" s="3" t="s">
        <v>57</v>
      </c>
      <c r="Z78" s="66"/>
      <c r="AA78" s="68"/>
      <c r="AC78" s="66"/>
      <c r="AD78" s="66"/>
      <c r="AE78" s="68"/>
      <c r="AF78" s="68"/>
      <c r="AG78" s="68"/>
      <c r="AH78" s="59">
        <v>0.05</v>
      </c>
      <c r="AI78" s="59">
        <v>0.01</v>
      </c>
      <c r="AJ78" s="66"/>
      <c r="AK78" s="66"/>
      <c r="AM78" s="60" t="s">
        <v>13</v>
      </c>
      <c r="AN78" s="53">
        <v>6.25</v>
      </c>
      <c r="AO78" s="53" t="s">
        <v>102</v>
      </c>
      <c r="AP78" s="53">
        <f>AN78+AN69</f>
        <v>8.3662726491748032</v>
      </c>
      <c r="AS78" s="66"/>
      <c r="AT78" s="66"/>
      <c r="AU78" s="66"/>
      <c r="AV78" s="66"/>
      <c r="AW78" s="66"/>
      <c r="AX78" s="42">
        <v>0.05</v>
      </c>
      <c r="AY78" s="42">
        <v>0.01</v>
      </c>
      <c r="AZ78" s="66"/>
      <c r="BA78" s="66"/>
    </row>
    <row r="79" spans="1:53" x14ac:dyDescent="0.3">
      <c r="A79" s="73"/>
      <c r="B79" s="75"/>
      <c r="C79" s="87"/>
      <c r="D79" s="18" t="s">
        <v>3</v>
      </c>
      <c r="E79" s="18" t="s">
        <v>4</v>
      </c>
      <c r="F79" s="18" t="s">
        <v>5</v>
      </c>
      <c r="G79" s="18" t="s">
        <v>6</v>
      </c>
      <c r="H79" s="18" t="s">
        <v>3</v>
      </c>
      <c r="I79" s="18" t="s">
        <v>4</v>
      </c>
      <c r="J79" s="18" t="s">
        <v>5</v>
      </c>
      <c r="K79" s="18" t="s">
        <v>6</v>
      </c>
      <c r="L79" s="18" t="s">
        <v>3</v>
      </c>
      <c r="M79" s="18" t="s">
        <v>4</v>
      </c>
      <c r="N79" s="18" t="s">
        <v>5</v>
      </c>
      <c r="O79" s="18" t="s">
        <v>6</v>
      </c>
      <c r="P79" s="66"/>
      <c r="Q79" s="68"/>
      <c r="S79" s="6" t="s">
        <v>44</v>
      </c>
      <c r="T79" s="6">
        <v>3</v>
      </c>
      <c r="V79" s="3" t="s">
        <v>58</v>
      </c>
      <c r="W79" s="2">
        <f>SUM(D80:O80)</f>
        <v>26</v>
      </c>
      <c r="X79" s="2">
        <f>SUM(D81:O81)</f>
        <v>51</v>
      </c>
      <c r="Y79" s="2">
        <f>SUM(D82:O82)</f>
        <v>55</v>
      </c>
      <c r="Z79" s="2">
        <f>SUM(W79:Y79)</f>
        <v>132</v>
      </c>
      <c r="AA79" s="53">
        <f>AVERAGE(W79:Y79)</f>
        <v>44</v>
      </c>
      <c r="AC79" s="3" t="s">
        <v>43</v>
      </c>
      <c r="AD79" s="2">
        <f>12-1</f>
        <v>11</v>
      </c>
      <c r="AE79" s="53">
        <f>T83</f>
        <v>8.5462962962963047</v>
      </c>
      <c r="AF79" s="53">
        <f>AE79/AD79</f>
        <v>0.7769360269360277</v>
      </c>
      <c r="AG79" s="53">
        <f>AF79/AF83</f>
        <v>0.6357843981401754</v>
      </c>
      <c r="AH79" s="53">
        <f>FINV(AH78,AD79,AD83)</f>
        <v>1.8991710184693407</v>
      </c>
      <c r="AI79" s="53">
        <f>FINV(AI78,AD79,AD83)</f>
        <v>2.4560580535880434</v>
      </c>
      <c r="AJ79" s="30" t="s">
        <v>95</v>
      </c>
      <c r="AK79" s="2"/>
      <c r="AM79" s="60" t="s">
        <v>14</v>
      </c>
      <c r="AN79" s="53">
        <v>6.666666666666667</v>
      </c>
      <c r="AO79" s="53" t="s">
        <v>102</v>
      </c>
      <c r="AP79" s="53">
        <f>AN79+AN69</f>
        <v>8.782939315841471</v>
      </c>
      <c r="AS79" s="3" t="s">
        <v>43</v>
      </c>
      <c r="AT79" s="2">
        <f>12-1</f>
        <v>11</v>
      </c>
      <c r="AU79" s="6">
        <f>SUMSQ(D89:O89)/(3*3)-AT88</f>
        <v>8.5462962962963047</v>
      </c>
      <c r="AV79" s="53">
        <f>AU79/AT79</f>
        <v>0.7769360269360277</v>
      </c>
      <c r="AW79" s="53">
        <f>AV79/AV84</f>
        <v>0.6357843981401754</v>
      </c>
      <c r="AX79" s="53">
        <f>FINV(AX78,AT79,AT84)</f>
        <v>1.8991710184693407</v>
      </c>
      <c r="AY79" s="53">
        <f>FINV(AY78,AT79,AT84)</f>
        <v>2.4560580535880434</v>
      </c>
      <c r="AZ79" s="2" t="str">
        <f>IF(AW79&gt;AY79,"**",IF(AW79&gt;AX79,"*","TN"))</f>
        <v>TN</v>
      </c>
      <c r="BA79" s="2" t="str">
        <f>IF(AZ79="TN","Tidak Nyata",IF(AZ79="*","Nyata",IF(AZ79="**","Sangat Nyata",0)))</f>
        <v>Tidak Nyata</v>
      </c>
    </row>
    <row r="80" spans="1:53" ht="15.5" x14ac:dyDescent="0.3">
      <c r="A80" s="73"/>
      <c r="B80" s="75"/>
      <c r="C80" s="21" t="s">
        <v>9</v>
      </c>
      <c r="D80" s="26">
        <v>3</v>
      </c>
      <c r="E80" s="26">
        <v>2</v>
      </c>
      <c r="F80" s="26">
        <v>2</v>
      </c>
      <c r="G80" s="26">
        <v>2</v>
      </c>
      <c r="H80" s="26">
        <v>3</v>
      </c>
      <c r="I80" s="26">
        <v>3</v>
      </c>
      <c r="J80" s="26">
        <v>1</v>
      </c>
      <c r="K80" s="26">
        <v>2</v>
      </c>
      <c r="L80" s="26">
        <v>2</v>
      </c>
      <c r="M80" s="26">
        <v>3</v>
      </c>
      <c r="N80" s="26">
        <v>1</v>
      </c>
      <c r="O80" s="26">
        <v>2</v>
      </c>
      <c r="P80" s="22">
        <f>SUM(D80:O80)</f>
        <v>26</v>
      </c>
      <c r="Q80" s="53">
        <f>AVERAGE(D80:O80)</f>
        <v>2.1666666666666665</v>
      </c>
      <c r="S80" s="6" t="s">
        <v>45</v>
      </c>
      <c r="T80" s="6">
        <v>3</v>
      </c>
      <c r="V80" s="3" t="s">
        <v>59</v>
      </c>
      <c r="W80" s="2">
        <f>SUM(D83:O83)</f>
        <v>80</v>
      </c>
      <c r="X80" s="2">
        <f>SUM(D84:O84)</f>
        <v>78</v>
      </c>
      <c r="Y80" s="2">
        <f>SUM(D85:O85)</f>
        <v>76</v>
      </c>
      <c r="Z80" s="2">
        <f>SUM(W80:Y80)</f>
        <v>234</v>
      </c>
      <c r="AA80" s="53">
        <f>AVERAGE(W80:Y80)</f>
        <v>78</v>
      </c>
      <c r="AC80" s="3" t="s">
        <v>45</v>
      </c>
      <c r="AD80" s="2">
        <f>3-1</f>
        <v>2</v>
      </c>
      <c r="AE80" s="53">
        <f>T84</f>
        <v>6.4629629629628198</v>
      </c>
      <c r="AF80" s="53">
        <f>AE80/AD80</f>
        <v>3.2314814814814099</v>
      </c>
      <c r="AG80" s="53">
        <f>AF80/AF83</f>
        <v>2.6443946960564215</v>
      </c>
      <c r="AH80" s="53">
        <f>FINV(AH78,AD80,AD83)</f>
        <v>3.1000686386371408</v>
      </c>
      <c r="AI80" s="53">
        <f>FINV(AI78,AD80,AD83)</f>
        <v>4.8547979993760721</v>
      </c>
      <c r="AJ80" s="30" t="s">
        <v>95</v>
      </c>
      <c r="AK80" s="2"/>
      <c r="AM80" s="60" t="s">
        <v>12</v>
      </c>
      <c r="AN80" s="53">
        <v>6.833333333333333</v>
      </c>
      <c r="AO80" s="53" t="s">
        <v>102</v>
      </c>
      <c r="AP80" s="53">
        <f>AN80+AN69</f>
        <v>8.9496059825081353</v>
      </c>
      <c r="AS80" s="3" t="s">
        <v>98</v>
      </c>
      <c r="AT80" s="2">
        <f>3*3-1</f>
        <v>8</v>
      </c>
      <c r="AU80" s="53">
        <f>SUMSQ(P80:P88)/12-AT88</f>
        <v>464.68518518518499</v>
      </c>
      <c r="AV80" s="53">
        <f t="shared" ref="AV80:AV84" si="31">AU80/AT80</f>
        <v>58.085648148148124</v>
      </c>
      <c r="AW80" s="53">
        <f>AV80/AV84</f>
        <v>47.532805235061048</v>
      </c>
      <c r="AX80" s="53">
        <f>FINV(AX78,AT80,AT84)</f>
        <v>2.0454143150341193</v>
      </c>
      <c r="AY80" s="53">
        <f>FINV(AY78,AT80,AT84)</f>
        <v>2.720181875728696</v>
      </c>
      <c r="AZ80" s="2" t="str">
        <f>IF(AW80&gt;AY80,"**",IF(AW80&gt;AX80,"*","TN"))</f>
        <v>**</v>
      </c>
      <c r="BA80" s="2" t="str">
        <f t="shared" ref="BA80:BA83" si="32">IF(AZ80="TN","Tidak Nyata",IF(AZ80="*","Nyata",IF(AZ80="**","Sangat Nyata",0)))</f>
        <v>Sangat Nyata</v>
      </c>
    </row>
    <row r="81" spans="1:53" ht="15.5" x14ac:dyDescent="0.3">
      <c r="A81" s="73"/>
      <c r="B81" s="75"/>
      <c r="C81" s="21" t="s">
        <v>10</v>
      </c>
      <c r="D81" s="26">
        <v>3</v>
      </c>
      <c r="E81" s="26">
        <v>4</v>
      </c>
      <c r="F81" s="26">
        <v>2</v>
      </c>
      <c r="G81" s="26">
        <v>5</v>
      </c>
      <c r="H81" s="26">
        <v>4</v>
      </c>
      <c r="I81" s="26">
        <v>3</v>
      </c>
      <c r="J81" s="26">
        <v>5</v>
      </c>
      <c r="K81" s="26">
        <v>6</v>
      </c>
      <c r="L81" s="26">
        <v>3</v>
      </c>
      <c r="M81" s="26">
        <v>7</v>
      </c>
      <c r="N81" s="26">
        <v>4</v>
      </c>
      <c r="O81" s="26">
        <v>5</v>
      </c>
      <c r="P81" s="22">
        <f t="shared" ref="P81:P89" si="33">SUM(D81:O81)</f>
        <v>51</v>
      </c>
      <c r="Q81" s="53">
        <f t="shared" ref="Q81:Q88" si="34">AVERAGE(D81:O81)</f>
        <v>4.25</v>
      </c>
      <c r="S81" s="6" t="s">
        <v>46</v>
      </c>
      <c r="T81" s="51">
        <f>(P89^2)/(12*3*3)</f>
        <v>1688.2314814814815</v>
      </c>
      <c r="V81" s="3" t="s">
        <v>60</v>
      </c>
      <c r="W81" s="2">
        <f>SUM(D86:O86)</f>
        <v>24</v>
      </c>
      <c r="X81" s="2">
        <f>SUM(D87:O87)</f>
        <v>21</v>
      </c>
      <c r="Y81" s="2">
        <f>SUM(D88:O88)</f>
        <v>16</v>
      </c>
      <c r="Z81" s="2">
        <f>SUM(W81:Y81)</f>
        <v>61</v>
      </c>
      <c r="AA81" s="53">
        <f>AVERAGE(W81:Y81)</f>
        <v>20.333333333333332</v>
      </c>
      <c r="AC81" s="3" t="s">
        <v>44</v>
      </c>
      <c r="AD81" s="2">
        <f>3-1</f>
        <v>2</v>
      </c>
      <c r="AE81" s="53">
        <f>T85</f>
        <v>420.12962962962979</v>
      </c>
      <c r="AF81" s="53">
        <f>AE81/AD81</f>
        <v>210.06481481481489</v>
      </c>
      <c r="AG81" s="53">
        <f>AF81/AF83</f>
        <v>171.90080936800396</v>
      </c>
      <c r="AH81" s="53">
        <f>FINV(AH78,AD81,AD83)</f>
        <v>3.1000686386371408</v>
      </c>
      <c r="AI81" s="53">
        <f>FINV(AI78,AD81,AD83)</f>
        <v>4.8547979993760721</v>
      </c>
      <c r="AJ81" s="30" t="s">
        <v>72</v>
      </c>
      <c r="AK81" s="2"/>
      <c r="AM81" s="51"/>
      <c r="AN81" s="51"/>
      <c r="AO81" s="51"/>
      <c r="AP81" s="51"/>
      <c r="AS81" s="3" t="s">
        <v>45</v>
      </c>
      <c r="AT81" s="2">
        <f>3-1</f>
        <v>2</v>
      </c>
      <c r="AU81" s="53">
        <f>SUMSQ(W82:Y82)/(3*12)-AT88</f>
        <v>6.4629629629628198</v>
      </c>
      <c r="AV81" s="53">
        <f t="shared" si="31"/>
        <v>3.2314814814814099</v>
      </c>
      <c r="AW81" s="53">
        <f>AV81/AV84</f>
        <v>2.6443946960564215</v>
      </c>
      <c r="AX81" s="53">
        <f>FINV(AX78,AT81,AT84)</f>
        <v>3.1000686386371408</v>
      </c>
      <c r="AY81" s="53">
        <f>FINV(AY78,AT81,AT84)</f>
        <v>4.8547979993760721</v>
      </c>
      <c r="AZ81" s="2" t="str">
        <f>IF(AW81&gt;AY81,"**",IF(AW81&gt;AX81,"*","TN"))</f>
        <v>TN</v>
      </c>
      <c r="BA81" s="2" t="str">
        <f t="shared" si="32"/>
        <v>Tidak Nyata</v>
      </c>
    </row>
    <row r="82" spans="1:53" ht="15.5" x14ac:dyDescent="0.3">
      <c r="A82" s="73"/>
      <c r="B82" s="75"/>
      <c r="C82" s="21" t="s">
        <v>11</v>
      </c>
      <c r="D82" s="26">
        <v>4</v>
      </c>
      <c r="E82" s="26">
        <v>3</v>
      </c>
      <c r="F82" s="26">
        <v>5</v>
      </c>
      <c r="G82" s="26">
        <v>4</v>
      </c>
      <c r="H82" s="26">
        <v>6</v>
      </c>
      <c r="I82" s="26">
        <v>5</v>
      </c>
      <c r="J82" s="26">
        <v>4</v>
      </c>
      <c r="K82" s="26">
        <v>3</v>
      </c>
      <c r="L82" s="26">
        <v>6</v>
      </c>
      <c r="M82" s="26">
        <v>6</v>
      </c>
      <c r="N82" s="26">
        <v>5</v>
      </c>
      <c r="O82" s="26">
        <v>4</v>
      </c>
      <c r="P82" s="22">
        <f t="shared" si="33"/>
        <v>55</v>
      </c>
      <c r="Q82" s="53">
        <f t="shared" si="34"/>
        <v>4.583333333333333</v>
      </c>
      <c r="S82" s="6" t="s">
        <v>47</v>
      </c>
      <c r="T82" s="51">
        <f>SUMSQ(D80:O88)-T81</f>
        <v>580.76851851851848</v>
      </c>
      <c r="V82" s="3" t="s">
        <v>33</v>
      </c>
      <c r="W82" s="2">
        <f>SUM(W79:W81)</f>
        <v>130</v>
      </c>
      <c r="X82" s="2">
        <f>SUM(X79:X81)</f>
        <v>150</v>
      </c>
      <c r="Y82" s="2">
        <f>SUM(Y79:Y81)</f>
        <v>147</v>
      </c>
      <c r="Z82" s="2">
        <f>SUM(W82:Y82)</f>
        <v>427</v>
      </c>
      <c r="AA82" s="53">
        <f>AVERAGE(W82:Y82)</f>
        <v>142.33333333333334</v>
      </c>
      <c r="AC82" s="3" t="s">
        <v>69</v>
      </c>
      <c r="AD82" s="2">
        <f>(3-1)*(3-1)</f>
        <v>4</v>
      </c>
      <c r="AE82" s="53">
        <f>T86</f>
        <v>38.092592592592382</v>
      </c>
      <c r="AF82" s="53">
        <f>AE82/AD82</f>
        <v>9.5231481481480955</v>
      </c>
      <c r="AG82" s="53">
        <f>AF82/AF83</f>
        <v>7.7930084380919045</v>
      </c>
      <c r="AH82" s="53">
        <f>FINV(AH78,AD82,AD83)</f>
        <v>2.4752774088696223</v>
      </c>
      <c r="AI82" s="53">
        <f>FINV(AI78,AD82,AD83)</f>
        <v>3.5400845421240663</v>
      </c>
      <c r="AJ82" s="30" t="s">
        <v>72</v>
      </c>
      <c r="AK82" s="2"/>
      <c r="AM82" s="80" t="s">
        <v>80</v>
      </c>
      <c r="AN82" s="80"/>
      <c r="AO82" s="51"/>
      <c r="AP82" s="51"/>
      <c r="AS82" s="3" t="s">
        <v>44</v>
      </c>
      <c r="AT82" s="2">
        <f>3-1</f>
        <v>2</v>
      </c>
      <c r="AU82" s="53">
        <f>SUMSQ(Z79:Z81)/(3*12)-AT88</f>
        <v>420.12962962962979</v>
      </c>
      <c r="AV82" s="53">
        <f t="shared" si="31"/>
        <v>210.06481481481489</v>
      </c>
      <c r="AW82" s="53">
        <f>AV82/AV84</f>
        <v>171.90080936800396</v>
      </c>
      <c r="AX82" s="53">
        <f>FINV(AX78,AT82,AT84)</f>
        <v>3.1000686386371408</v>
      </c>
      <c r="AY82" s="53">
        <f>FINV(AY78,AT82,AT84)</f>
        <v>4.8547979993760721</v>
      </c>
      <c r="AZ82" s="2" t="str">
        <f>IF(AW82&gt;AY82,"**",IF(AW82&gt;AX82,"*","TN"))</f>
        <v>**</v>
      </c>
      <c r="BA82" s="2" t="str">
        <f t="shared" si="32"/>
        <v>Sangat Nyata</v>
      </c>
    </row>
    <row r="83" spans="1:53" ht="15.5" x14ac:dyDescent="0.3">
      <c r="A83" s="73"/>
      <c r="B83" s="75"/>
      <c r="C83" s="21" t="s">
        <v>12</v>
      </c>
      <c r="D83" s="27">
        <v>5</v>
      </c>
      <c r="E83" s="27">
        <v>6</v>
      </c>
      <c r="F83" s="27">
        <v>6</v>
      </c>
      <c r="G83" s="27">
        <v>7</v>
      </c>
      <c r="H83" s="27">
        <v>5</v>
      </c>
      <c r="I83" s="27">
        <v>7</v>
      </c>
      <c r="J83" s="27">
        <v>6</v>
      </c>
      <c r="K83" s="27">
        <v>7</v>
      </c>
      <c r="L83" s="27">
        <v>8</v>
      </c>
      <c r="M83" s="27">
        <v>7</v>
      </c>
      <c r="N83" s="27">
        <v>8</v>
      </c>
      <c r="O83" s="27">
        <v>8</v>
      </c>
      <c r="P83" s="22">
        <f t="shared" si="33"/>
        <v>80</v>
      </c>
      <c r="Q83" s="53">
        <f t="shared" si="34"/>
        <v>6.666666666666667</v>
      </c>
      <c r="S83" s="6" t="s">
        <v>48</v>
      </c>
      <c r="T83" s="51">
        <f>(SUMSQ(D89:O89)/(3*3))-T81</f>
        <v>8.5462962962963047</v>
      </c>
      <c r="V83" s="3" t="s">
        <v>32</v>
      </c>
      <c r="W83" s="53">
        <f>AVERAGE(W79:W81)</f>
        <v>43.333333333333336</v>
      </c>
      <c r="X83" s="53">
        <f>AVERAGE(X79:X81)</f>
        <v>50</v>
      </c>
      <c r="Y83" s="53">
        <f>AVERAGE(Y79:Y81)</f>
        <v>49</v>
      </c>
      <c r="Z83" s="2"/>
      <c r="AA83" s="53"/>
      <c r="AC83" s="3" t="s">
        <v>70</v>
      </c>
      <c r="AD83" s="2">
        <f>((3*3)-1)*(12-1)</f>
        <v>88</v>
      </c>
      <c r="AE83" s="53">
        <f>T87</f>
        <v>107.53703703703718</v>
      </c>
      <c r="AF83" s="53">
        <f>AE83/AD83</f>
        <v>1.2220117845117862</v>
      </c>
      <c r="AG83" s="53"/>
      <c r="AH83" s="53"/>
      <c r="AI83" s="53"/>
      <c r="AJ83" s="2"/>
      <c r="AK83" s="2"/>
      <c r="AM83" s="54" t="s">
        <v>74</v>
      </c>
      <c r="AN83" s="54">
        <f>SQRT(AF83/12)</f>
        <v>0.31911489369188362</v>
      </c>
      <c r="AO83" s="56"/>
      <c r="AP83" s="55" t="s">
        <v>89</v>
      </c>
      <c r="AS83" s="3" t="s">
        <v>69</v>
      </c>
      <c r="AT83" s="2">
        <f>AT81*AT82</f>
        <v>4</v>
      </c>
      <c r="AU83" s="53">
        <f>AU80-AU81-AU82</f>
        <v>38.092592592592382</v>
      </c>
      <c r="AV83" s="53">
        <f t="shared" si="31"/>
        <v>9.5231481481480955</v>
      </c>
      <c r="AW83" s="53">
        <f>AV83/AV84</f>
        <v>7.7930084380919045</v>
      </c>
      <c r="AX83" s="53">
        <f>FINV(AX78,AT83,AT84)</f>
        <v>2.4752774088696223</v>
      </c>
      <c r="AY83" s="53">
        <f>FINV(AY78,AT83,AT84)</f>
        <v>3.5400845421240663</v>
      </c>
      <c r="AZ83" s="2" t="str">
        <f>IF(AW83&gt;AY83,"**",IF(AW83&gt;AX83,"*","TN"))</f>
        <v>**</v>
      </c>
      <c r="BA83" s="2" t="str">
        <f t="shared" si="32"/>
        <v>Sangat Nyata</v>
      </c>
    </row>
    <row r="84" spans="1:53" ht="15.5" x14ac:dyDescent="0.3">
      <c r="A84" s="73"/>
      <c r="B84" s="75"/>
      <c r="C84" s="21" t="s">
        <v>13</v>
      </c>
      <c r="D84" s="27">
        <v>4</v>
      </c>
      <c r="E84" s="27">
        <v>5</v>
      </c>
      <c r="F84" s="27">
        <v>6</v>
      </c>
      <c r="G84" s="27">
        <v>7</v>
      </c>
      <c r="H84" s="27">
        <v>5</v>
      </c>
      <c r="I84" s="27">
        <v>6</v>
      </c>
      <c r="J84" s="27">
        <v>5</v>
      </c>
      <c r="K84" s="27">
        <v>8</v>
      </c>
      <c r="L84" s="27">
        <v>7</v>
      </c>
      <c r="M84" s="27">
        <v>8</v>
      </c>
      <c r="N84" s="27">
        <v>8</v>
      </c>
      <c r="O84" s="27">
        <v>9</v>
      </c>
      <c r="P84" s="22">
        <f t="shared" si="33"/>
        <v>78</v>
      </c>
      <c r="Q84" s="53">
        <f t="shared" si="34"/>
        <v>6.5</v>
      </c>
      <c r="S84" s="6" t="s">
        <v>50</v>
      </c>
      <c r="T84" s="51">
        <f>(SUMSQ(W82:Y82)/(12*3))-T81</f>
        <v>6.4629629629628198</v>
      </c>
      <c r="AA84" s="51"/>
      <c r="AC84" s="3" t="s">
        <v>33</v>
      </c>
      <c r="AD84" s="2">
        <f>(3*3*12)-1</f>
        <v>107</v>
      </c>
      <c r="AE84" s="53">
        <f>T82</f>
        <v>580.76851851851848</v>
      </c>
      <c r="AF84" s="53"/>
      <c r="AG84" s="53"/>
      <c r="AH84" s="53"/>
      <c r="AI84" s="53"/>
      <c r="AJ84" s="2"/>
      <c r="AK84" s="2"/>
      <c r="AM84" s="53" t="s">
        <v>75</v>
      </c>
      <c r="AN84" s="54">
        <v>4.46</v>
      </c>
      <c r="AO84" s="51"/>
      <c r="AP84" s="51"/>
      <c r="AS84" s="3" t="s">
        <v>70</v>
      </c>
      <c r="AT84" s="2">
        <f>AT85-AT79-AT80</f>
        <v>88</v>
      </c>
      <c r="AU84" s="53">
        <f>AU85-AU79-AU80</f>
        <v>107.53703703703718</v>
      </c>
      <c r="AV84" s="53">
        <f t="shared" si="31"/>
        <v>1.2220117845117862</v>
      </c>
      <c r="AW84" s="53"/>
      <c r="AX84" s="53"/>
      <c r="AY84" s="53"/>
      <c r="AZ84" s="2"/>
      <c r="BA84" s="2"/>
    </row>
    <row r="85" spans="1:53" ht="15.5" x14ac:dyDescent="0.3">
      <c r="A85" s="73"/>
      <c r="B85" s="75"/>
      <c r="C85" s="21" t="s">
        <v>14</v>
      </c>
      <c r="D85" s="27">
        <v>8</v>
      </c>
      <c r="E85" s="27">
        <v>6</v>
      </c>
      <c r="F85" s="27">
        <v>4</v>
      </c>
      <c r="G85" s="27">
        <v>6</v>
      </c>
      <c r="H85" s="27">
        <v>6</v>
      </c>
      <c r="I85" s="27">
        <v>8</v>
      </c>
      <c r="J85" s="27">
        <v>7</v>
      </c>
      <c r="K85" s="27">
        <v>6</v>
      </c>
      <c r="L85" s="27">
        <v>7</v>
      </c>
      <c r="M85" s="27">
        <v>5</v>
      </c>
      <c r="N85" s="27">
        <v>7</v>
      </c>
      <c r="O85" s="27">
        <v>6</v>
      </c>
      <c r="P85" s="22">
        <f t="shared" si="33"/>
        <v>76</v>
      </c>
      <c r="Q85" s="53">
        <f t="shared" si="34"/>
        <v>6.333333333333333</v>
      </c>
      <c r="S85" s="6" t="s">
        <v>49</v>
      </c>
      <c r="T85" s="51">
        <f>(SUMSQ(Z79:Z81)/(12*3))-T81</f>
        <v>420.12962962962979</v>
      </c>
      <c r="AA85" s="51"/>
      <c r="AE85" s="51"/>
      <c r="AF85" s="51"/>
      <c r="AG85" s="51"/>
      <c r="AH85" s="51"/>
      <c r="AI85" s="51"/>
      <c r="AM85" s="53" t="s">
        <v>76</v>
      </c>
      <c r="AN85" s="54">
        <f>AN84*AN83</f>
        <v>1.4232524258658008</v>
      </c>
      <c r="AO85" s="51"/>
      <c r="AP85" s="51"/>
      <c r="AS85" s="3" t="s">
        <v>33</v>
      </c>
      <c r="AT85" s="2">
        <f>(3*3*12)-1</f>
        <v>107</v>
      </c>
      <c r="AU85" s="53">
        <f>SUMSQ(D80:O88)-AT88</f>
        <v>580.76851851851848</v>
      </c>
      <c r="AV85" s="53"/>
      <c r="AW85" s="53"/>
      <c r="AX85" s="53"/>
      <c r="AY85" s="53"/>
      <c r="AZ85" s="2"/>
      <c r="BA85" s="2"/>
    </row>
    <row r="86" spans="1:53" ht="15.5" x14ac:dyDescent="0.3">
      <c r="A86" s="73"/>
      <c r="B86" s="75"/>
      <c r="C86" s="21" t="s">
        <v>15</v>
      </c>
      <c r="D86" s="26">
        <v>2</v>
      </c>
      <c r="E86" s="26">
        <v>2</v>
      </c>
      <c r="F86" s="26">
        <v>3</v>
      </c>
      <c r="G86" s="26">
        <v>2</v>
      </c>
      <c r="H86" s="26">
        <v>1</v>
      </c>
      <c r="I86" s="26">
        <v>3</v>
      </c>
      <c r="J86" s="26">
        <v>2</v>
      </c>
      <c r="K86" s="26">
        <v>1</v>
      </c>
      <c r="L86" s="26">
        <v>3</v>
      </c>
      <c r="M86" s="26">
        <v>2</v>
      </c>
      <c r="N86" s="26">
        <v>1</v>
      </c>
      <c r="O86" s="26">
        <v>2</v>
      </c>
      <c r="P86" s="22">
        <f t="shared" si="33"/>
        <v>24</v>
      </c>
      <c r="Q86" s="53">
        <f t="shared" si="34"/>
        <v>2</v>
      </c>
      <c r="S86" s="6" t="s">
        <v>51</v>
      </c>
      <c r="T86" s="51">
        <f>(SUMSQ(W79:Y81)/(12))-T81-T84-T85</f>
        <v>38.092592592592382</v>
      </c>
      <c r="AA86" s="51"/>
      <c r="AE86" s="51"/>
      <c r="AF86" s="51"/>
      <c r="AG86" s="51"/>
      <c r="AH86" s="51"/>
      <c r="AI86" s="51"/>
      <c r="AM86" s="51"/>
      <c r="AN86" s="51"/>
      <c r="AO86" s="51"/>
      <c r="AP86" s="51"/>
    </row>
    <row r="87" spans="1:53" ht="15.5" x14ac:dyDescent="0.3">
      <c r="A87" s="73"/>
      <c r="B87" s="75"/>
      <c r="C87" s="21" t="s">
        <v>16</v>
      </c>
      <c r="D87" s="26">
        <v>2</v>
      </c>
      <c r="E87" s="26">
        <v>1</v>
      </c>
      <c r="F87" s="26">
        <v>3</v>
      </c>
      <c r="G87" s="26">
        <v>1</v>
      </c>
      <c r="H87" s="26">
        <v>2</v>
      </c>
      <c r="I87" s="26">
        <v>1</v>
      </c>
      <c r="J87" s="26">
        <v>3</v>
      </c>
      <c r="K87" s="26">
        <v>2</v>
      </c>
      <c r="L87" s="26">
        <v>2</v>
      </c>
      <c r="M87" s="26">
        <v>1</v>
      </c>
      <c r="N87" s="26">
        <v>2</v>
      </c>
      <c r="O87" s="26">
        <v>1</v>
      </c>
      <c r="P87" s="22">
        <f t="shared" si="33"/>
        <v>21</v>
      </c>
      <c r="Q87" s="53">
        <f t="shared" si="34"/>
        <v>1.75</v>
      </c>
      <c r="S87" s="6" t="s">
        <v>52</v>
      </c>
      <c r="T87" s="51">
        <f>T82-T83-T84-T85-T86</f>
        <v>107.53703703703718</v>
      </c>
      <c r="AA87" s="51"/>
      <c r="AE87" s="51"/>
      <c r="AF87" s="51"/>
      <c r="AG87" s="51"/>
      <c r="AH87" s="51"/>
      <c r="AI87" s="51"/>
      <c r="AM87" s="54" t="s">
        <v>0</v>
      </c>
      <c r="AN87" s="54" t="s">
        <v>32</v>
      </c>
      <c r="AO87" s="54" t="s">
        <v>67</v>
      </c>
      <c r="AP87" s="54" t="s">
        <v>77</v>
      </c>
    </row>
    <row r="88" spans="1:53" ht="15.5" x14ac:dyDescent="0.3">
      <c r="A88" s="73"/>
      <c r="B88" s="75"/>
      <c r="C88" s="21" t="s">
        <v>17</v>
      </c>
      <c r="D88" s="26">
        <v>2</v>
      </c>
      <c r="E88" s="26">
        <v>3</v>
      </c>
      <c r="F88" s="26">
        <v>1</v>
      </c>
      <c r="G88" s="26">
        <v>1</v>
      </c>
      <c r="H88" s="26">
        <v>1</v>
      </c>
      <c r="I88" s="26">
        <v>2</v>
      </c>
      <c r="J88" s="26">
        <v>2</v>
      </c>
      <c r="K88" s="26">
        <v>2</v>
      </c>
      <c r="L88" s="26">
        <v>0</v>
      </c>
      <c r="M88" s="26">
        <v>1</v>
      </c>
      <c r="N88" s="26">
        <v>1</v>
      </c>
      <c r="O88" s="26">
        <v>0</v>
      </c>
      <c r="P88" s="22">
        <f t="shared" si="33"/>
        <v>16</v>
      </c>
      <c r="Q88" s="53">
        <f t="shared" si="34"/>
        <v>1.3333333333333333</v>
      </c>
      <c r="AA88" s="51"/>
      <c r="AE88" s="51"/>
      <c r="AF88" s="51"/>
      <c r="AG88" s="51"/>
      <c r="AH88" s="51"/>
      <c r="AI88" s="51"/>
      <c r="AM88" s="60" t="s">
        <v>17</v>
      </c>
      <c r="AN88" s="53">
        <v>1.3333333333333333</v>
      </c>
      <c r="AO88" s="53" t="s">
        <v>93</v>
      </c>
      <c r="AP88" s="53">
        <f>AN88+AN85</f>
        <v>2.7565857591991341</v>
      </c>
      <c r="AS88" s="2" t="s">
        <v>46</v>
      </c>
      <c r="AT88" s="53">
        <f>P89^2/(3*3*12)</f>
        <v>1688.2314814814815</v>
      </c>
    </row>
    <row r="89" spans="1:53" x14ac:dyDescent="0.3">
      <c r="A89" s="73"/>
      <c r="B89" s="75"/>
      <c r="C89" s="20" t="s">
        <v>33</v>
      </c>
      <c r="D89" s="23">
        <f>SUM(D80:D88)</f>
        <v>33</v>
      </c>
      <c r="E89" s="23">
        <f t="shared" ref="E89:O89" si="35">SUM(E80:E88)</f>
        <v>32</v>
      </c>
      <c r="F89" s="23">
        <f t="shared" si="35"/>
        <v>32</v>
      </c>
      <c r="G89" s="23">
        <f t="shared" si="35"/>
        <v>35</v>
      </c>
      <c r="H89" s="23">
        <f t="shared" si="35"/>
        <v>33</v>
      </c>
      <c r="I89" s="23">
        <f t="shared" si="35"/>
        <v>38</v>
      </c>
      <c r="J89" s="23">
        <f t="shared" si="35"/>
        <v>35</v>
      </c>
      <c r="K89" s="23">
        <f t="shared" si="35"/>
        <v>37</v>
      </c>
      <c r="L89" s="23">
        <f t="shared" si="35"/>
        <v>38</v>
      </c>
      <c r="M89" s="23">
        <f t="shared" si="35"/>
        <v>40</v>
      </c>
      <c r="N89" s="23">
        <f t="shared" si="35"/>
        <v>37</v>
      </c>
      <c r="O89" s="23">
        <f t="shared" si="35"/>
        <v>37</v>
      </c>
      <c r="P89" s="22">
        <f t="shared" si="33"/>
        <v>427</v>
      </c>
      <c r="Q89" s="53"/>
      <c r="AA89" s="51"/>
      <c r="AE89" s="51"/>
      <c r="AF89" s="51"/>
      <c r="AG89" s="51"/>
      <c r="AH89" s="51"/>
      <c r="AI89" s="51"/>
      <c r="AM89" s="60" t="s">
        <v>16</v>
      </c>
      <c r="AN89" s="53">
        <v>1.75</v>
      </c>
      <c r="AO89" s="53" t="s">
        <v>93</v>
      </c>
      <c r="AP89" s="53">
        <f>AN89+AN85</f>
        <v>3.173252425865801</v>
      </c>
    </row>
    <row r="90" spans="1:53" x14ac:dyDescent="0.3">
      <c r="A90" s="66"/>
      <c r="B90" s="76"/>
      <c r="C90" s="20" t="s">
        <v>32</v>
      </c>
      <c r="D90" s="53">
        <f>AVERAGE(D80:D88)</f>
        <v>3.6666666666666665</v>
      </c>
      <c r="E90" s="53">
        <f t="shared" ref="E90:O90" si="36">AVERAGE(E80:E88)</f>
        <v>3.5555555555555554</v>
      </c>
      <c r="F90" s="53">
        <f t="shared" si="36"/>
        <v>3.5555555555555554</v>
      </c>
      <c r="G90" s="53">
        <f t="shared" si="36"/>
        <v>3.8888888888888888</v>
      </c>
      <c r="H90" s="53">
        <f t="shared" si="36"/>
        <v>3.6666666666666665</v>
      </c>
      <c r="I90" s="53">
        <f t="shared" si="36"/>
        <v>4.2222222222222223</v>
      </c>
      <c r="J90" s="53">
        <f t="shared" si="36"/>
        <v>3.8888888888888888</v>
      </c>
      <c r="K90" s="53">
        <f t="shared" si="36"/>
        <v>4.1111111111111107</v>
      </c>
      <c r="L90" s="53">
        <f t="shared" si="36"/>
        <v>4.2222222222222223</v>
      </c>
      <c r="M90" s="53">
        <f t="shared" si="36"/>
        <v>4.4444444444444446</v>
      </c>
      <c r="N90" s="53">
        <f t="shared" si="36"/>
        <v>4.1111111111111107</v>
      </c>
      <c r="O90" s="53">
        <f t="shared" si="36"/>
        <v>4.1111111111111107</v>
      </c>
      <c r="P90" s="2"/>
      <c r="Q90" s="53"/>
      <c r="AA90" s="51"/>
      <c r="AE90" s="51"/>
      <c r="AF90" s="51"/>
      <c r="AG90" s="51"/>
      <c r="AH90" s="51"/>
      <c r="AI90" s="51"/>
      <c r="AM90" s="60" t="s">
        <v>15</v>
      </c>
      <c r="AN90" s="53">
        <v>2</v>
      </c>
      <c r="AO90" s="53" t="s">
        <v>93</v>
      </c>
      <c r="AP90" s="53">
        <f>AN90+AN85</f>
        <v>3.423252425865801</v>
      </c>
    </row>
    <row r="91" spans="1:53" x14ac:dyDescent="0.3">
      <c r="Q91" s="51"/>
      <c r="AA91" s="51"/>
      <c r="AE91" s="51"/>
      <c r="AF91" s="51"/>
      <c r="AG91" s="51"/>
      <c r="AH91" s="51"/>
      <c r="AI91" s="51"/>
      <c r="AM91" s="60" t="s">
        <v>9</v>
      </c>
      <c r="AN91" s="53">
        <v>2.1666666666666665</v>
      </c>
      <c r="AO91" s="53" t="s">
        <v>93</v>
      </c>
      <c r="AP91" s="53">
        <f>AN91+AN85</f>
        <v>3.5899190925324671</v>
      </c>
      <c r="AS91" s="6" t="s">
        <v>97</v>
      </c>
    </row>
    <row r="92" spans="1:53" x14ac:dyDescent="0.3">
      <c r="A92" s="3" t="s">
        <v>18</v>
      </c>
      <c r="B92" s="3" t="s">
        <v>20</v>
      </c>
      <c r="C92" s="87" t="s">
        <v>0</v>
      </c>
      <c r="D92" s="69" t="s">
        <v>1</v>
      </c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5" t="s">
        <v>33</v>
      </c>
      <c r="Q92" s="67" t="s">
        <v>32</v>
      </c>
      <c r="V92" s="65" t="s">
        <v>53</v>
      </c>
      <c r="W92" s="70" t="s">
        <v>54</v>
      </c>
      <c r="X92" s="71"/>
      <c r="Y92" s="72"/>
      <c r="Z92" s="65" t="s">
        <v>33</v>
      </c>
      <c r="AA92" s="67" t="s">
        <v>32</v>
      </c>
      <c r="AC92" s="65" t="s">
        <v>61</v>
      </c>
      <c r="AD92" s="65" t="s">
        <v>62</v>
      </c>
      <c r="AE92" s="67" t="s">
        <v>63</v>
      </c>
      <c r="AF92" s="67" t="s">
        <v>64</v>
      </c>
      <c r="AG92" s="67" t="s">
        <v>65</v>
      </c>
      <c r="AH92" s="64" t="s">
        <v>66</v>
      </c>
      <c r="AI92" s="64"/>
      <c r="AJ92" s="65" t="s">
        <v>67</v>
      </c>
      <c r="AK92" s="65" t="s">
        <v>68</v>
      </c>
      <c r="AM92" s="60" t="s">
        <v>10</v>
      </c>
      <c r="AN92" s="53">
        <v>4.25</v>
      </c>
      <c r="AO92" s="53" t="s">
        <v>94</v>
      </c>
      <c r="AP92" s="53">
        <f>AN92+AN85</f>
        <v>5.673252425865801</v>
      </c>
      <c r="AS92" s="65" t="s">
        <v>61</v>
      </c>
      <c r="AT92" s="65" t="s">
        <v>62</v>
      </c>
      <c r="AU92" s="65" t="s">
        <v>63</v>
      </c>
      <c r="AV92" s="65" t="s">
        <v>64</v>
      </c>
      <c r="AW92" s="65" t="s">
        <v>65</v>
      </c>
      <c r="AX92" s="69" t="s">
        <v>66</v>
      </c>
      <c r="AY92" s="69"/>
      <c r="AZ92" s="65" t="s">
        <v>67</v>
      </c>
      <c r="BA92" s="65" t="s">
        <v>68</v>
      </c>
    </row>
    <row r="93" spans="1:53" x14ac:dyDescent="0.3">
      <c r="A93" s="65">
        <v>7</v>
      </c>
      <c r="B93" s="74" t="s">
        <v>42</v>
      </c>
      <c r="C93" s="87"/>
      <c r="D93" s="69" t="s">
        <v>2</v>
      </c>
      <c r="E93" s="69"/>
      <c r="F93" s="69"/>
      <c r="G93" s="69"/>
      <c r="H93" s="69" t="s">
        <v>7</v>
      </c>
      <c r="I93" s="69"/>
      <c r="J93" s="69"/>
      <c r="K93" s="69"/>
      <c r="L93" s="69" t="s">
        <v>8</v>
      </c>
      <c r="M93" s="69"/>
      <c r="N93" s="69"/>
      <c r="O93" s="69"/>
      <c r="P93" s="73"/>
      <c r="Q93" s="77"/>
      <c r="S93" s="6" t="s">
        <v>71</v>
      </c>
      <c r="T93" s="6">
        <v>12</v>
      </c>
      <c r="V93" s="66"/>
      <c r="W93" s="3" t="s">
        <v>55</v>
      </c>
      <c r="X93" s="3" t="s">
        <v>56</v>
      </c>
      <c r="Y93" s="3" t="s">
        <v>57</v>
      </c>
      <c r="Z93" s="66"/>
      <c r="AA93" s="68"/>
      <c r="AC93" s="66"/>
      <c r="AD93" s="66"/>
      <c r="AE93" s="68"/>
      <c r="AF93" s="68"/>
      <c r="AG93" s="68"/>
      <c r="AH93" s="59">
        <v>0.05</v>
      </c>
      <c r="AI93" s="59">
        <v>0.01</v>
      </c>
      <c r="AJ93" s="66"/>
      <c r="AK93" s="66"/>
      <c r="AM93" s="60" t="s">
        <v>11</v>
      </c>
      <c r="AN93" s="53">
        <v>4.583333333333333</v>
      </c>
      <c r="AO93" s="53" t="s">
        <v>94</v>
      </c>
      <c r="AP93" s="53">
        <f>AN93+AN85</f>
        <v>6.0065857591991341</v>
      </c>
      <c r="AS93" s="66"/>
      <c r="AT93" s="66"/>
      <c r="AU93" s="66"/>
      <c r="AV93" s="66"/>
      <c r="AW93" s="66"/>
      <c r="AX93" s="42">
        <v>0.05</v>
      </c>
      <c r="AY93" s="42">
        <v>0.01</v>
      </c>
      <c r="AZ93" s="66"/>
      <c r="BA93" s="66"/>
    </row>
    <row r="94" spans="1:53" x14ac:dyDescent="0.3">
      <c r="A94" s="73"/>
      <c r="B94" s="75"/>
      <c r="C94" s="87"/>
      <c r="D94" s="18" t="s">
        <v>3</v>
      </c>
      <c r="E94" s="18" t="s">
        <v>4</v>
      </c>
      <c r="F94" s="18" t="s">
        <v>5</v>
      </c>
      <c r="G94" s="18" t="s">
        <v>6</v>
      </c>
      <c r="H94" s="18" t="s">
        <v>3</v>
      </c>
      <c r="I94" s="18" t="s">
        <v>4</v>
      </c>
      <c r="J94" s="18" t="s">
        <v>5</v>
      </c>
      <c r="K94" s="18" t="s">
        <v>6</v>
      </c>
      <c r="L94" s="18" t="s">
        <v>3</v>
      </c>
      <c r="M94" s="18" t="s">
        <v>4</v>
      </c>
      <c r="N94" s="18" t="s">
        <v>5</v>
      </c>
      <c r="O94" s="18" t="s">
        <v>6</v>
      </c>
      <c r="P94" s="66"/>
      <c r="Q94" s="68"/>
      <c r="S94" s="6" t="s">
        <v>44</v>
      </c>
      <c r="T94" s="6">
        <v>3</v>
      </c>
      <c r="V94" s="3" t="s">
        <v>58</v>
      </c>
      <c r="W94" s="2">
        <f>SUM(D95:O95)</f>
        <v>19</v>
      </c>
      <c r="X94" s="2">
        <f>SUM(D96:O96)</f>
        <v>42</v>
      </c>
      <c r="Y94" s="2">
        <f>SUM(D97:O97)</f>
        <v>46</v>
      </c>
      <c r="Z94" s="2">
        <f>SUM(W94:Y94)</f>
        <v>107</v>
      </c>
      <c r="AA94" s="53">
        <f>AVERAGE(W94:Y94)</f>
        <v>35.666666666666664</v>
      </c>
      <c r="AC94" s="3" t="s">
        <v>43</v>
      </c>
      <c r="AD94" s="2">
        <f>12-1</f>
        <v>11</v>
      </c>
      <c r="AE94" s="53">
        <f>T98</f>
        <v>11.407407407407391</v>
      </c>
      <c r="AF94" s="53">
        <f>AE94/AD94</f>
        <v>1.0370370370370354</v>
      </c>
      <c r="AG94" s="53">
        <f>AF94/AF98</f>
        <v>1.0438466426604496</v>
      </c>
      <c r="AH94" s="53">
        <f>FINV(AH93,AD94,AD98)</f>
        <v>1.8991710184693407</v>
      </c>
      <c r="AI94" s="53">
        <f>FINV(AI93,AD94,AD98)</f>
        <v>2.4560580535880434</v>
      </c>
      <c r="AJ94" s="30" t="s">
        <v>95</v>
      </c>
      <c r="AK94" s="2"/>
      <c r="AM94" s="60" t="s">
        <v>14</v>
      </c>
      <c r="AN94" s="53">
        <v>6.333333333333333</v>
      </c>
      <c r="AO94" s="53" t="s">
        <v>102</v>
      </c>
      <c r="AP94" s="53">
        <f>AN94+AN85</f>
        <v>7.7565857591991341</v>
      </c>
      <c r="AS94" s="3" t="s">
        <v>43</v>
      </c>
      <c r="AT94" s="2">
        <f>12-1</f>
        <v>11</v>
      </c>
      <c r="AU94" s="6">
        <f>SUMSQ(D104:O104)/(3*3)-AT103</f>
        <v>11.407407407407391</v>
      </c>
      <c r="AV94" s="53">
        <f>AU94/AT94</f>
        <v>1.0370370370370354</v>
      </c>
      <c r="AW94" s="53">
        <f>AV94/AV99</f>
        <v>1.0438466426604496</v>
      </c>
      <c r="AX94" s="53">
        <f>FINV(AX93,AT94,AT99)</f>
        <v>1.8991710184693407</v>
      </c>
      <c r="AY94" s="53">
        <f>FINV(AY93,AT94,AT99)</f>
        <v>2.4560580535880434</v>
      </c>
      <c r="AZ94" s="2" t="str">
        <f>IF(AW94&gt;AY94,"**",IF(AW94&gt;AX94,"*","TN"))</f>
        <v>TN</v>
      </c>
      <c r="BA94" s="2" t="str">
        <f>IF(AZ94="TN","Tidak Nyata",IF(AZ94="*","Nyata",IF(AZ94="**","Sangat Nyata",0)))</f>
        <v>Tidak Nyata</v>
      </c>
    </row>
    <row r="95" spans="1:53" ht="15.5" x14ac:dyDescent="0.3">
      <c r="A95" s="73"/>
      <c r="B95" s="75"/>
      <c r="C95" s="21" t="s">
        <v>9</v>
      </c>
      <c r="D95" s="28">
        <v>2</v>
      </c>
      <c r="E95" s="28">
        <v>2</v>
      </c>
      <c r="F95" s="28">
        <v>2</v>
      </c>
      <c r="G95" s="28">
        <v>2</v>
      </c>
      <c r="H95" s="28">
        <v>2</v>
      </c>
      <c r="I95" s="28">
        <v>1</v>
      </c>
      <c r="J95" s="28">
        <v>3</v>
      </c>
      <c r="K95" s="28">
        <v>1</v>
      </c>
      <c r="L95" s="28">
        <v>2</v>
      </c>
      <c r="M95" s="28">
        <v>1</v>
      </c>
      <c r="N95" s="28">
        <v>0</v>
      </c>
      <c r="O95" s="28">
        <v>1</v>
      </c>
      <c r="P95" s="22">
        <f>SUM(D95:O95)</f>
        <v>19</v>
      </c>
      <c r="Q95" s="53">
        <f>AVERAGE(D95:O95)</f>
        <v>1.5833333333333333</v>
      </c>
      <c r="S95" s="6" t="s">
        <v>45</v>
      </c>
      <c r="T95" s="6">
        <v>3</v>
      </c>
      <c r="V95" s="3" t="s">
        <v>59</v>
      </c>
      <c r="W95" s="2">
        <f>SUM(D98:O98)</f>
        <v>83</v>
      </c>
      <c r="X95" s="2">
        <f>SUM(D99:O99)</f>
        <v>85</v>
      </c>
      <c r="Y95" s="2">
        <f>SUM(D100:O100)</f>
        <v>77</v>
      </c>
      <c r="Z95" s="2">
        <f>SUM(W95:Y95)</f>
        <v>245</v>
      </c>
      <c r="AA95" s="53">
        <f>AVERAGE(W95:Y95)</f>
        <v>81.666666666666671</v>
      </c>
      <c r="AC95" s="3" t="s">
        <v>45</v>
      </c>
      <c r="AD95" s="2">
        <f>3-1</f>
        <v>2</v>
      </c>
      <c r="AE95" s="53">
        <f>T99</f>
        <v>7.9074074074073906</v>
      </c>
      <c r="AF95" s="53">
        <f>AE95/AD95</f>
        <v>3.9537037037036953</v>
      </c>
      <c r="AG95" s="53">
        <f>AF95/AF98</f>
        <v>3.9796653251429621</v>
      </c>
      <c r="AH95" s="53">
        <f>FINV(AH93,AD95,AD98)</f>
        <v>3.1000686386371408</v>
      </c>
      <c r="AI95" s="53">
        <f>FINV(AI93,AD95,AD98)</f>
        <v>4.8547979993760721</v>
      </c>
      <c r="AJ95" s="30" t="s">
        <v>72</v>
      </c>
      <c r="AK95" s="2"/>
      <c r="AM95" s="60" t="s">
        <v>13</v>
      </c>
      <c r="AN95" s="53">
        <v>6.5</v>
      </c>
      <c r="AO95" s="53" t="s">
        <v>102</v>
      </c>
      <c r="AP95" s="53">
        <f>AN95+AN85</f>
        <v>7.923252425865801</v>
      </c>
      <c r="AS95" s="3" t="s">
        <v>98</v>
      </c>
      <c r="AT95" s="2">
        <f>3*3-1</f>
        <v>8</v>
      </c>
      <c r="AU95" s="53">
        <f>SUMSQ(P95:P103)/12-AT103</f>
        <v>589.90740740740716</v>
      </c>
      <c r="AV95" s="53">
        <f t="shared" ref="AV95:AV99" si="37">AU95/AT95</f>
        <v>73.738425925925895</v>
      </c>
      <c r="AW95" s="53">
        <f>AV95/AV99</f>
        <v>74.222622325778261</v>
      </c>
      <c r="AX95" s="53">
        <f>FINV(AX93,AT95,AT99)</f>
        <v>2.0454143150341193</v>
      </c>
      <c r="AY95" s="53">
        <f>FINV(AY93,AT95,AT99)</f>
        <v>2.720181875728696</v>
      </c>
      <c r="AZ95" s="2" t="str">
        <f>IF(AW95&gt;AY95,"**",IF(AW95&gt;AX95,"*","TN"))</f>
        <v>**</v>
      </c>
      <c r="BA95" s="2" t="str">
        <f t="shared" ref="BA95:BA98" si="38">IF(AZ95="TN","Tidak Nyata",IF(AZ95="*","Nyata",IF(AZ95="**","Sangat Nyata",0)))</f>
        <v>Sangat Nyata</v>
      </c>
    </row>
    <row r="96" spans="1:53" ht="15.5" x14ac:dyDescent="0.3">
      <c r="A96" s="73"/>
      <c r="B96" s="75"/>
      <c r="C96" s="21" t="s">
        <v>10</v>
      </c>
      <c r="D96" s="28">
        <v>3</v>
      </c>
      <c r="E96" s="28">
        <v>3</v>
      </c>
      <c r="F96" s="28">
        <v>4</v>
      </c>
      <c r="G96" s="28">
        <v>2</v>
      </c>
      <c r="H96" s="28">
        <v>4</v>
      </c>
      <c r="I96" s="28">
        <v>5</v>
      </c>
      <c r="J96" s="28">
        <v>2</v>
      </c>
      <c r="K96" s="28">
        <v>3</v>
      </c>
      <c r="L96" s="28">
        <v>5</v>
      </c>
      <c r="M96" s="28">
        <v>4</v>
      </c>
      <c r="N96" s="28">
        <v>3</v>
      </c>
      <c r="O96" s="28">
        <v>4</v>
      </c>
      <c r="P96" s="22">
        <f t="shared" ref="P96:P104" si="39">SUM(D96:O96)</f>
        <v>42</v>
      </c>
      <c r="Q96" s="53">
        <f t="shared" ref="Q96:Q103" si="40">AVERAGE(D96:O96)</f>
        <v>3.5</v>
      </c>
      <c r="S96" s="6" t="s">
        <v>46</v>
      </c>
      <c r="T96" s="51">
        <f>(P104^2)/(12*3*3)</f>
        <v>1511.2592592592594</v>
      </c>
      <c r="V96" s="3" t="s">
        <v>60</v>
      </c>
      <c r="W96" s="2">
        <f>SUM(D101:O101)</f>
        <v>19</v>
      </c>
      <c r="X96" s="2">
        <f>SUM(D102:O102)</f>
        <v>13</v>
      </c>
      <c r="Y96" s="2">
        <f>SUM(D103:O103)</f>
        <v>20</v>
      </c>
      <c r="Z96" s="2">
        <f>SUM(W96:Y96)</f>
        <v>52</v>
      </c>
      <c r="AA96" s="53">
        <f>AVERAGE(W96:Y96)</f>
        <v>17.333333333333332</v>
      </c>
      <c r="AC96" s="3" t="s">
        <v>44</v>
      </c>
      <c r="AD96" s="2">
        <f>3-1</f>
        <v>2</v>
      </c>
      <c r="AE96" s="53">
        <f>T100</f>
        <v>549.24074074074065</v>
      </c>
      <c r="AF96" s="53">
        <f>AE96/AD96</f>
        <v>274.62037037037032</v>
      </c>
      <c r="AG96" s="53">
        <f>AF96/AF98</f>
        <v>276.42363905952072</v>
      </c>
      <c r="AH96" s="53">
        <f>FINV(AH93,AD96,AD98)</f>
        <v>3.1000686386371408</v>
      </c>
      <c r="AI96" s="53">
        <f>FINV(AI93,AD96,AD98)</f>
        <v>4.8547979993760721</v>
      </c>
      <c r="AJ96" s="30" t="s">
        <v>72</v>
      </c>
      <c r="AK96" s="2"/>
      <c r="AM96" s="60" t="s">
        <v>12</v>
      </c>
      <c r="AN96" s="53">
        <v>6.666666666666667</v>
      </c>
      <c r="AO96" s="53" t="s">
        <v>102</v>
      </c>
      <c r="AP96" s="53">
        <f>AN96+AN85</f>
        <v>8.0899190925324671</v>
      </c>
      <c r="AS96" s="3" t="s">
        <v>45</v>
      </c>
      <c r="AT96" s="2">
        <f>3-1</f>
        <v>2</v>
      </c>
      <c r="AU96" s="53">
        <f>SUMSQ(W97:Y97)/(3*12)-AT103</f>
        <v>7.9074074074073906</v>
      </c>
      <c r="AV96" s="53">
        <f t="shared" si="37"/>
        <v>3.9537037037036953</v>
      </c>
      <c r="AW96" s="53">
        <f>AV96/AV99</f>
        <v>3.9796653251429621</v>
      </c>
      <c r="AX96" s="53">
        <f>FINV(AX93,AT96,AT99)</f>
        <v>3.1000686386371408</v>
      </c>
      <c r="AY96" s="53">
        <f>FINV(AY93,AT96,AT99)</f>
        <v>4.8547979993760721</v>
      </c>
      <c r="AZ96" s="2" t="str">
        <f>IF(AW96&gt;AY96,"**",IF(AW96&gt;AX96,"*","TN"))</f>
        <v>*</v>
      </c>
      <c r="BA96" s="2" t="str">
        <f t="shared" si="38"/>
        <v>Nyata</v>
      </c>
    </row>
    <row r="97" spans="1:53" ht="15.5" x14ac:dyDescent="0.3">
      <c r="A97" s="73"/>
      <c r="B97" s="75"/>
      <c r="C97" s="21" t="s">
        <v>11</v>
      </c>
      <c r="D97" s="28">
        <v>3</v>
      </c>
      <c r="E97" s="28">
        <v>4</v>
      </c>
      <c r="F97" s="28">
        <v>6</v>
      </c>
      <c r="G97" s="28">
        <v>5</v>
      </c>
      <c r="H97" s="28">
        <v>3</v>
      </c>
      <c r="I97" s="28">
        <v>4</v>
      </c>
      <c r="J97" s="28">
        <v>3</v>
      </c>
      <c r="K97" s="28">
        <v>4</v>
      </c>
      <c r="L97" s="28">
        <v>3</v>
      </c>
      <c r="M97" s="28">
        <v>5</v>
      </c>
      <c r="N97" s="28">
        <v>4</v>
      </c>
      <c r="O97" s="28">
        <v>2</v>
      </c>
      <c r="P97" s="22">
        <f t="shared" si="39"/>
        <v>46</v>
      </c>
      <c r="Q97" s="53">
        <f t="shared" si="40"/>
        <v>3.8333333333333335</v>
      </c>
      <c r="S97" s="6" t="s">
        <v>47</v>
      </c>
      <c r="T97" s="51">
        <f>SUMSQ(D95:O103)-T96</f>
        <v>688.74074074074065</v>
      </c>
      <c r="V97" s="3" t="s">
        <v>33</v>
      </c>
      <c r="W97" s="2">
        <f>SUM(W94:W96)</f>
        <v>121</v>
      </c>
      <c r="X97" s="2">
        <f>SUM(X94:X96)</f>
        <v>140</v>
      </c>
      <c r="Y97" s="2">
        <f>SUM(Y94:Y96)</f>
        <v>143</v>
      </c>
      <c r="Z97" s="2">
        <f>SUM(W97:Y97)</f>
        <v>404</v>
      </c>
      <c r="AA97" s="53">
        <f>AVERAGE(W97:Y97)</f>
        <v>134.66666666666666</v>
      </c>
      <c r="AC97" s="3" t="s">
        <v>69</v>
      </c>
      <c r="AD97" s="2">
        <f>(3-1)*(3-1)</f>
        <v>4</v>
      </c>
      <c r="AE97" s="53">
        <f>T101</f>
        <v>32.759259259259125</v>
      </c>
      <c r="AF97" s="53">
        <f>AE97/AD97</f>
        <v>8.1898148148147811</v>
      </c>
      <c r="AG97" s="53">
        <f>AF97/AF98</f>
        <v>8.2435924592246899</v>
      </c>
      <c r="AH97" s="53">
        <f>FINV(AH93,AD97,AD98)</f>
        <v>2.4752774088696223</v>
      </c>
      <c r="AI97" s="53">
        <f>FINV(AI93,AD97,AD98)</f>
        <v>3.5400845421240663</v>
      </c>
      <c r="AJ97" s="30" t="s">
        <v>72</v>
      </c>
      <c r="AK97" s="2"/>
      <c r="AM97" s="51"/>
      <c r="AN97" s="51"/>
      <c r="AO97" s="51"/>
      <c r="AP97" s="51"/>
      <c r="AS97" s="3" t="s">
        <v>44</v>
      </c>
      <c r="AT97" s="2">
        <f>3-1</f>
        <v>2</v>
      </c>
      <c r="AU97" s="53">
        <f>SUMSQ(Z94:Z96)/(3*12)-AT103</f>
        <v>549.24074074074065</v>
      </c>
      <c r="AV97" s="53">
        <f t="shared" si="37"/>
        <v>274.62037037037032</v>
      </c>
      <c r="AW97" s="53">
        <f>AV97/AV99</f>
        <v>276.42363905952072</v>
      </c>
      <c r="AX97" s="53">
        <f>FINV(AX93,AT97,AT99)</f>
        <v>3.1000686386371408</v>
      </c>
      <c r="AY97" s="53">
        <f>FINV(AY93,AT97,AT99)</f>
        <v>4.8547979993760721</v>
      </c>
      <c r="AZ97" s="2" t="str">
        <f>IF(AW97&gt;AY97,"**",IF(AW97&gt;AX97,"*","TN"))</f>
        <v>**</v>
      </c>
      <c r="BA97" s="2" t="str">
        <f t="shared" si="38"/>
        <v>Sangat Nyata</v>
      </c>
    </row>
    <row r="98" spans="1:53" ht="15.5" x14ac:dyDescent="0.3">
      <c r="A98" s="73"/>
      <c r="B98" s="75"/>
      <c r="C98" s="21" t="s">
        <v>12</v>
      </c>
      <c r="D98" s="29">
        <v>8</v>
      </c>
      <c r="E98" s="29">
        <v>7</v>
      </c>
      <c r="F98" s="29">
        <v>8</v>
      </c>
      <c r="G98" s="29">
        <v>8</v>
      </c>
      <c r="H98" s="29">
        <v>6</v>
      </c>
      <c r="I98" s="29">
        <v>5</v>
      </c>
      <c r="J98" s="29">
        <v>5</v>
      </c>
      <c r="K98" s="29">
        <v>7</v>
      </c>
      <c r="L98" s="29">
        <v>7</v>
      </c>
      <c r="M98" s="29">
        <v>6</v>
      </c>
      <c r="N98" s="29">
        <v>9</v>
      </c>
      <c r="O98" s="29">
        <v>7</v>
      </c>
      <c r="P98" s="22">
        <f t="shared" si="39"/>
        <v>83</v>
      </c>
      <c r="Q98" s="53">
        <f t="shared" si="40"/>
        <v>6.916666666666667</v>
      </c>
      <c r="S98" s="6" t="s">
        <v>48</v>
      </c>
      <c r="T98" s="51">
        <f>(SUMSQ(D104:O104)/(3*3))-T96</f>
        <v>11.407407407407391</v>
      </c>
      <c r="V98" s="3" t="s">
        <v>32</v>
      </c>
      <c r="W98" s="53">
        <f>AVERAGE(W94:W96)</f>
        <v>40.333333333333336</v>
      </c>
      <c r="X98" s="53">
        <f>AVERAGE(X94:X96)</f>
        <v>46.666666666666664</v>
      </c>
      <c r="Y98" s="53">
        <f>AVERAGE(Y94:Y96)</f>
        <v>47.666666666666664</v>
      </c>
      <c r="Z98" s="2"/>
      <c r="AA98" s="2"/>
      <c r="AC98" s="3" t="s">
        <v>70</v>
      </c>
      <c r="AD98" s="2">
        <f>((3*3)-1)*(12-1)</f>
        <v>88</v>
      </c>
      <c r="AE98" s="53">
        <f>T102</f>
        <v>87.425925925926094</v>
      </c>
      <c r="AF98" s="53">
        <f>AE98/AD98</f>
        <v>0.9934764309764329</v>
      </c>
      <c r="AG98" s="53"/>
      <c r="AH98" s="53"/>
      <c r="AI98" s="53"/>
      <c r="AJ98" s="2"/>
      <c r="AK98" s="2"/>
      <c r="AM98" s="80" t="s">
        <v>80</v>
      </c>
      <c r="AN98" s="80"/>
      <c r="AO98" s="51"/>
      <c r="AP98" s="51"/>
      <c r="AS98" s="3" t="s">
        <v>69</v>
      </c>
      <c r="AT98" s="2">
        <f>AT96*AT97</f>
        <v>4</v>
      </c>
      <c r="AU98" s="53">
        <f>AU95-AU96-AU97</f>
        <v>32.759259259259125</v>
      </c>
      <c r="AV98" s="53">
        <f t="shared" si="37"/>
        <v>8.1898148148147811</v>
      </c>
      <c r="AW98" s="53">
        <f>AV98/AV99</f>
        <v>8.2435924592246899</v>
      </c>
      <c r="AX98" s="53">
        <f>FINV(AX93,AT98,AT99)</f>
        <v>2.4752774088696223</v>
      </c>
      <c r="AY98" s="53">
        <f>FINV(AY93,AT98,AT99)</f>
        <v>3.5400845421240663</v>
      </c>
      <c r="AZ98" s="2" t="str">
        <f>IF(AW98&gt;AY98,"**",IF(AW98&gt;AX98,"*","TN"))</f>
        <v>**</v>
      </c>
      <c r="BA98" s="2" t="str">
        <f t="shared" si="38"/>
        <v>Sangat Nyata</v>
      </c>
    </row>
    <row r="99" spans="1:53" ht="15.5" x14ac:dyDescent="0.3">
      <c r="A99" s="73"/>
      <c r="B99" s="75"/>
      <c r="C99" s="21" t="s">
        <v>13</v>
      </c>
      <c r="D99" s="29">
        <v>7</v>
      </c>
      <c r="E99" s="29">
        <v>8</v>
      </c>
      <c r="F99" s="29">
        <v>8</v>
      </c>
      <c r="G99" s="29">
        <v>9</v>
      </c>
      <c r="H99" s="29">
        <v>6</v>
      </c>
      <c r="I99" s="29">
        <v>8</v>
      </c>
      <c r="J99" s="29">
        <v>6</v>
      </c>
      <c r="K99" s="29">
        <v>7</v>
      </c>
      <c r="L99" s="29">
        <v>7</v>
      </c>
      <c r="M99" s="29">
        <v>6</v>
      </c>
      <c r="N99" s="29">
        <v>7</v>
      </c>
      <c r="O99" s="29">
        <v>6</v>
      </c>
      <c r="P99" s="22">
        <f t="shared" si="39"/>
        <v>85</v>
      </c>
      <c r="Q99" s="53">
        <f t="shared" si="40"/>
        <v>7.083333333333333</v>
      </c>
      <c r="S99" s="6" t="s">
        <v>50</v>
      </c>
      <c r="T99" s="51">
        <f>(SUMSQ(W97:Y97)/(12*3))-T96</f>
        <v>7.9074074074073906</v>
      </c>
      <c r="AC99" s="3" t="s">
        <v>33</v>
      </c>
      <c r="AD99" s="2">
        <f>(3*3*12)-1</f>
        <v>107</v>
      </c>
      <c r="AE99" s="53">
        <f>T97</f>
        <v>688.74074074074065</v>
      </c>
      <c r="AF99" s="53"/>
      <c r="AG99" s="53"/>
      <c r="AH99" s="53"/>
      <c r="AI99" s="53"/>
      <c r="AJ99" s="2"/>
      <c r="AK99" s="2"/>
      <c r="AM99" s="54" t="s">
        <v>74</v>
      </c>
      <c r="AN99" s="54">
        <f>SQRT(AF98/12)</f>
        <v>0.28773199784064579</v>
      </c>
      <c r="AO99" s="56"/>
      <c r="AP99" s="55" t="s">
        <v>90</v>
      </c>
      <c r="AS99" s="3" t="s">
        <v>70</v>
      </c>
      <c r="AT99" s="2">
        <f>AT100-AT94-AT95</f>
        <v>88</v>
      </c>
      <c r="AU99" s="53">
        <f>AU100-AU94-AU95</f>
        <v>87.425925925926094</v>
      </c>
      <c r="AV99" s="53">
        <f t="shared" si="37"/>
        <v>0.9934764309764329</v>
      </c>
      <c r="AW99" s="53"/>
      <c r="AX99" s="53"/>
      <c r="AY99" s="53"/>
      <c r="AZ99" s="2"/>
      <c r="BA99" s="2"/>
    </row>
    <row r="100" spans="1:53" ht="15.5" x14ac:dyDescent="0.3">
      <c r="A100" s="73"/>
      <c r="B100" s="75"/>
      <c r="C100" s="21" t="s">
        <v>14</v>
      </c>
      <c r="D100" s="29">
        <v>7</v>
      </c>
      <c r="E100" s="29">
        <v>5</v>
      </c>
      <c r="F100" s="29">
        <v>7</v>
      </c>
      <c r="G100" s="29">
        <v>6</v>
      </c>
      <c r="H100" s="29">
        <v>6</v>
      </c>
      <c r="I100" s="29">
        <v>7</v>
      </c>
      <c r="J100" s="29">
        <v>6</v>
      </c>
      <c r="K100" s="29">
        <v>6</v>
      </c>
      <c r="L100" s="29">
        <v>8</v>
      </c>
      <c r="M100" s="29">
        <v>6</v>
      </c>
      <c r="N100" s="29">
        <v>6</v>
      </c>
      <c r="O100" s="29">
        <v>7</v>
      </c>
      <c r="P100" s="22">
        <f t="shared" si="39"/>
        <v>77</v>
      </c>
      <c r="Q100" s="53">
        <f t="shared" si="40"/>
        <v>6.416666666666667</v>
      </c>
      <c r="S100" s="6" t="s">
        <v>49</v>
      </c>
      <c r="T100" s="51">
        <f>(SUMSQ(Z94:Z96)/(12*3))-T96</f>
        <v>549.24074074074065</v>
      </c>
      <c r="AM100" s="53" t="s">
        <v>75</v>
      </c>
      <c r="AN100" s="54">
        <v>4.46</v>
      </c>
      <c r="AO100" s="51"/>
      <c r="AP100" s="51"/>
      <c r="AS100" s="3" t="s">
        <v>33</v>
      </c>
      <c r="AT100" s="2">
        <f>(3*3*12)-1</f>
        <v>107</v>
      </c>
      <c r="AU100" s="53">
        <f>SUMSQ(D95:O103)-AT103</f>
        <v>688.74074074074065</v>
      </c>
      <c r="AV100" s="53"/>
      <c r="AW100" s="53"/>
      <c r="AX100" s="53"/>
      <c r="AY100" s="53"/>
      <c r="AZ100" s="2"/>
      <c r="BA100" s="2"/>
    </row>
    <row r="101" spans="1:53" ht="15.5" x14ac:dyDescent="0.3">
      <c r="A101" s="73"/>
      <c r="B101" s="75"/>
      <c r="C101" s="21" t="s">
        <v>15</v>
      </c>
      <c r="D101" s="28">
        <v>1</v>
      </c>
      <c r="E101" s="28">
        <v>2</v>
      </c>
      <c r="F101" s="28">
        <v>0</v>
      </c>
      <c r="G101" s="28">
        <v>1</v>
      </c>
      <c r="H101" s="28">
        <v>2</v>
      </c>
      <c r="I101" s="28">
        <v>1</v>
      </c>
      <c r="J101" s="28">
        <v>3</v>
      </c>
      <c r="K101" s="28">
        <v>2</v>
      </c>
      <c r="L101" s="28">
        <v>2</v>
      </c>
      <c r="M101" s="28">
        <v>2</v>
      </c>
      <c r="N101" s="28">
        <v>2</v>
      </c>
      <c r="O101" s="28">
        <v>1</v>
      </c>
      <c r="P101" s="22">
        <f t="shared" si="39"/>
        <v>19</v>
      </c>
      <c r="Q101" s="53">
        <f t="shared" si="40"/>
        <v>1.5833333333333333</v>
      </c>
      <c r="S101" s="6" t="s">
        <v>51</v>
      </c>
      <c r="T101" s="51">
        <f>(SUMSQ(W94:Y96)/(12))-T96-T99-T100</f>
        <v>32.759259259259125</v>
      </c>
      <c r="AM101" s="53" t="s">
        <v>76</v>
      </c>
      <c r="AN101" s="54">
        <f>AN100*AN99</f>
        <v>1.2832847103692802</v>
      </c>
      <c r="AO101" s="51"/>
      <c r="AP101" s="51"/>
    </row>
    <row r="102" spans="1:53" ht="15.5" x14ac:dyDescent="0.3">
      <c r="A102" s="73"/>
      <c r="B102" s="75"/>
      <c r="C102" s="21" t="s">
        <v>16</v>
      </c>
      <c r="D102" s="28">
        <v>2</v>
      </c>
      <c r="E102" s="28">
        <v>2</v>
      </c>
      <c r="F102" s="28">
        <v>2</v>
      </c>
      <c r="G102" s="28">
        <v>1</v>
      </c>
      <c r="H102" s="28">
        <v>0</v>
      </c>
      <c r="I102" s="28">
        <v>0</v>
      </c>
      <c r="J102" s="28">
        <v>0</v>
      </c>
      <c r="K102" s="28">
        <v>0</v>
      </c>
      <c r="L102" s="28">
        <v>1</v>
      </c>
      <c r="M102" s="28">
        <v>2</v>
      </c>
      <c r="N102" s="28">
        <v>1</v>
      </c>
      <c r="O102" s="28">
        <v>2</v>
      </c>
      <c r="P102" s="22">
        <f t="shared" si="39"/>
        <v>13</v>
      </c>
      <c r="Q102" s="53">
        <f t="shared" si="40"/>
        <v>1.0833333333333333</v>
      </c>
      <c r="S102" s="6" t="s">
        <v>52</v>
      </c>
      <c r="T102" s="51">
        <f>T97-T98-T99-T100-T101</f>
        <v>87.425925925926094</v>
      </c>
      <c r="AM102" s="51"/>
      <c r="AN102" s="51"/>
      <c r="AO102" s="51"/>
      <c r="AP102" s="51"/>
    </row>
    <row r="103" spans="1:53" ht="15.5" x14ac:dyDescent="0.3">
      <c r="A103" s="73"/>
      <c r="B103" s="75"/>
      <c r="C103" s="21" t="s">
        <v>17</v>
      </c>
      <c r="D103" s="28">
        <v>3</v>
      </c>
      <c r="E103" s="28">
        <v>2</v>
      </c>
      <c r="F103" s="28">
        <v>1</v>
      </c>
      <c r="G103" s="28">
        <v>2</v>
      </c>
      <c r="H103" s="28">
        <v>3</v>
      </c>
      <c r="I103" s="28">
        <v>3</v>
      </c>
      <c r="J103" s="28">
        <v>0</v>
      </c>
      <c r="K103" s="28">
        <v>0</v>
      </c>
      <c r="L103" s="28">
        <v>2</v>
      </c>
      <c r="M103" s="28">
        <v>3</v>
      </c>
      <c r="N103" s="28">
        <v>0</v>
      </c>
      <c r="O103" s="28">
        <v>1</v>
      </c>
      <c r="P103" s="22">
        <f t="shared" si="39"/>
        <v>20</v>
      </c>
      <c r="Q103" s="53">
        <f t="shared" si="40"/>
        <v>1.6666666666666667</v>
      </c>
      <c r="AM103" s="54" t="s">
        <v>0</v>
      </c>
      <c r="AN103" s="54" t="s">
        <v>32</v>
      </c>
      <c r="AO103" s="54" t="s">
        <v>67</v>
      </c>
      <c r="AP103" s="54" t="s">
        <v>77</v>
      </c>
      <c r="AS103" s="2" t="s">
        <v>46</v>
      </c>
      <c r="AT103" s="53">
        <f>P104^2/(3*3*12)</f>
        <v>1511.2592592592594</v>
      </c>
    </row>
    <row r="104" spans="1:53" x14ac:dyDescent="0.3">
      <c r="A104" s="73"/>
      <c r="B104" s="75"/>
      <c r="C104" s="20" t="s">
        <v>33</v>
      </c>
      <c r="D104" s="23">
        <f>SUM(D95:D103)</f>
        <v>36</v>
      </c>
      <c r="E104" s="23">
        <f t="shared" ref="E104:O104" si="41">SUM(E95:E103)</f>
        <v>35</v>
      </c>
      <c r="F104" s="23">
        <f t="shared" si="41"/>
        <v>38</v>
      </c>
      <c r="G104" s="23">
        <f t="shared" si="41"/>
        <v>36</v>
      </c>
      <c r="H104" s="23">
        <f t="shared" si="41"/>
        <v>32</v>
      </c>
      <c r="I104" s="23">
        <f t="shared" si="41"/>
        <v>34</v>
      </c>
      <c r="J104" s="23">
        <f t="shared" si="41"/>
        <v>28</v>
      </c>
      <c r="K104" s="23">
        <f t="shared" si="41"/>
        <v>30</v>
      </c>
      <c r="L104" s="23">
        <f t="shared" si="41"/>
        <v>37</v>
      </c>
      <c r="M104" s="23">
        <f t="shared" si="41"/>
        <v>35</v>
      </c>
      <c r="N104" s="23">
        <f t="shared" si="41"/>
        <v>32</v>
      </c>
      <c r="O104" s="23">
        <f t="shared" si="41"/>
        <v>31</v>
      </c>
      <c r="P104" s="22">
        <f t="shared" si="39"/>
        <v>404</v>
      </c>
      <c r="Q104" s="33"/>
      <c r="AM104" s="60" t="s">
        <v>16</v>
      </c>
      <c r="AN104" s="53">
        <v>1.0833333333333333</v>
      </c>
      <c r="AO104" s="53" t="s">
        <v>93</v>
      </c>
      <c r="AP104" s="53">
        <f>AN104+AN101</f>
        <v>2.3666180437026134</v>
      </c>
    </row>
    <row r="105" spans="1:53" x14ac:dyDescent="0.3">
      <c r="A105" s="66"/>
      <c r="B105" s="76"/>
      <c r="C105" s="20" t="s">
        <v>32</v>
      </c>
      <c r="D105" s="53">
        <f>AVERAGE(D95:D103)</f>
        <v>4</v>
      </c>
      <c r="E105" s="53">
        <f t="shared" ref="E105:O105" si="42">AVERAGE(E95:E103)</f>
        <v>3.8888888888888888</v>
      </c>
      <c r="F105" s="53">
        <f t="shared" si="42"/>
        <v>4.2222222222222223</v>
      </c>
      <c r="G105" s="53">
        <f t="shared" si="42"/>
        <v>4</v>
      </c>
      <c r="H105" s="53">
        <f t="shared" si="42"/>
        <v>3.5555555555555554</v>
      </c>
      <c r="I105" s="53">
        <f t="shared" si="42"/>
        <v>3.7777777777777777</v>
      </c>
      <c r="J105" s="53">
        <f t="shared" si="42"/>
        <v>3.1111111111111112</v>
      </c>
      <c r="K105" s="53">
        <f t="shared" si="42"/>
        <v>3.3333333333333335</v>
      </c>
      <c r="L105" s="53">
        <f t="shared" si="42"/>
        <v>4.1111111111111107</v>
      </c>
      <c r="M105" s="53">
        <f t="shared" si="42"/>
        <v>3.8888888888888888</v>
      </c>
      <c r="N105" s="53">
        <f t="shared" si="42"/>
        <v>3.5555555555555554</v>
      </c>
      <c r="O105" s="53">
        <f t="shared" si="42"/>
        <v>3.4444444444444446</v>
      </c>
      <c r="P105" s="2"/>
      <c r="Q105" s="33"/>
      <c r="AM105" s="60" t="s">
        <v>9</v>
      </c>
      <c r="AN105" s="53">
        <v>1.5833333333333333</v>
      </c>
      <c r="AO105" s="53" t="s">
        <v>93</v>
      </c>
      <c r="AP105" s="53">
        <f>AN105+AN101</f>
        <v>2.8666180437026134</v>
      </c>
    </row>
    <row r="106" spans="1:53" x14ac:dyDescent="0.3">
      <c r="AM106" s="60" t="s">
        <v>15</v>
      </c>
      <c r="AN106" s="53">
        <v>1.5833333333333333</v>
      </c>
      <c r="AO106" s="53" t="s">
        <v>93</v>
      </c>
      <c r="AP106" s="53">
        <f>AN106+AN101</f>
        <v>2.8666180437026134</v>
      </c>
    </row>
    <row r="107" spans="1:53" x14ac:dyDescent="0.3">
      <c r="AM107" s="60" t="s">
        <v>17</v>
      </c>
      <c r="AN107" s="53">
        <v>1.6666666666666667</v>
      </c>
      <c r="AO107" s="53" t="s">
        <v>93</v>
      </c>
      <c r="AP107" s="53">
        <f>AN107+AN101</f>
        <v>2.9499513770359469</v>
      </c>
    </row>
    <row r="108" spans="1:53" x14ac:dyDescent="0.3">
      <c r="AM108" s="60" t="s">
        <v>10</v>
      </c>
      <c r="AN108" s="53">
        <v>3.5</v>
      </c>
      <c r="AO108" s="53" t="s">
        <v>94</v>
      </c>
      <c r="AP108" s="53">
        <f>AN108+AN101</f>
        <v>4.7832847103692799</v>
      </c>
    </row>
    <row r="109" spans="1:53" x14ac:dyDescent="0.3">
      <c r="AM109" s="60" t="s">
        <v>11</v>
      </c>
      <c r="AN109" s="53">
        <v>3.8333333333333335</v>
      </c>
      <c r="AO109" s="53" t="s">
        <v>94</v>
      </c>
      <c r="AP109" s="53">
        <f>AN109+AN101</f>
        <v>5.1166180437026139</v>
      </c>
    </row>
    <row r="110" spans="1:53" x14ac:dyDescent="0.3">
      <c r="AM110" s="60" t="s">
        <v>14</v>
      </c>
      <c r="AN110" s="53">
        <v>6.416666666666667</v>
      </c>
      <c r="AO110" s="53" t="s">
        <v>102</v>
      </c>
      <c r="AP110" s="53">
        <f>AN110+AN101</f>
        <v>7.6999513770359469</v>
      </c>
    </row>
    <row r="111" spans="1:53" x14ac:dyDescent="0.3">
      <c r="AM111" s="60" t="s">
        <v>12</v>
      </c>
      <c r="AN111" s="53">
        <v>6.916666666666667</v>
      </c>
      <c r="AO111" s="53" t="s">
        <v>102</v>
      </c>
      <c r="AP111" s="53">
        <f>AN111+AN101</f>
        <v>8.1999513770359478</v>
      </c>
    </row>
    <row r="112" spans="1:53" x14ac:dyDescent="0.3">
      <c r="AM112" s="60" t="s">
        <v>13</v>
      </c>
      <c r="AN112" s="53">
        <v>7.083333333333333</v>
      </c>
      <c r="AO112" s="53" t="s">
        <v>102</v>
      </c>
      <c r="AP112" s="53">
        <f>AN112+AN101</f>
        <v>8.3666180437026139</v>
      </c>
    </row>
  </sheetData>
  <sortState xmlns:xlrd2="http://schemas.microsoft.com/office/spreadsheetml/2017/richdata2" ref="AM24:AP32">
    <sortCondition ref="AN24:AN32"/>
  </sortState>
  <mergeCells count="210">
    <mergeCell ref="AS92:AS93"/>
    <mergeCell ref="AT92:AT93"/>
    <mergeCell ref="AU92:AU93"/>
    <mergeCell ref="AV92:AV93"/>
    <mergeCell ref="AW92:AW93"/>
    <mergeCell ref="AX92:AY92"/>
    <mergeCell ref="AZ92:AZ93"/>
    <mergeCell ref="BA92:BA93"/>
    <mergeCell ref="AS62:AS63"/>
    <mergeCell ref="AT62:AT63"/>
    <mergeCell ref="AU62:AU63"/>
    <mergeCell ref="AV62:AV63"/>
    <mergeCell ref="AW62:AW63"/>
    <mergeCell ref="AX62:AY62"/>
    <mergeCell ref="AZ62:AZ63"/>
    <mergeCell ref="BA62:BA63"/>
    <mergeCell ref="AS77:AS78"/>
    <mergeCell ref="AT77:AT78"/>
    <mergeCell ref="AU77:AU78"/>
    <mergeCell ref="AV77:AV78"/>
    <mergeCell ref="AW77:AW78"/>
    <mergeCell ref="AX77:AY77"/>
    <mergeCell ref="AZ77:AZ78"/>
    <mergeCell ref="BA77:BA78"/>
    <mergeCell ref="AS32:AS33"/>
    <mergeCell ref="AT32:AT33"/>
    <mergeCell ref="AU32:AU33"/>
    <mergeCell ref="AV32:AV33"/>
    <mergeCell ref="AW32:AW33"/>
    <mergeCell ref="AX32:AY32"/>
    <mergeCell ref="AZ32:AZ33"/>
    <mergeCell ref="BA32:BA33"/>
    <mergeCell ref="AS47:AS48"/>
    <mergeCell ref="AT47:AT48"/>
    <mergeCell ref="AU47:AU48"/>
    <mergeCell ref="AV47:AV48"/>
    <mergeCell ref="AW47:AW48"/>
    <mergeCell ref="AX47:AY47"/>
    <mergeCell ref="AZ47:AZ48"/>
    <mergeCell ref="BA47:BA48"/>
    <mergeCell ref="AS2:AS3"/>
    <mergeCell ref="AT2:AT3"/>
    <mergeCell ref="AU2:AU3"/>
    <mergeCell ref="AV2:AV3"/>
    <mergeCell ref="AW2:AW3"/>
    <mergeCell ref="AX2:AY2"/>
    <mergeCell ref="AZ2:AZ3"/>
    <mergeCell ref="BA2:BA3"/>
    <mergeCell ref="AS17:AS18"/>
    <mergeCell ref="AT17:AT18"/>
    <mergeCell ref="AU17:AU18"/>
    <mergeCell ref="AV17:AV18"/>
    <mergeCell ref="AW17:AW18"/>
    <mergeCell ref="AX17:AY17"/>
    <mergeCell ref="AZ17:AZ18"/>
    <mergeCell ref="BA17:BA18"/>
    <mergeCell ref="P47:P49"/>
    <mergeCell ref="Q62:Q64"/>
    <mergeCell ref="L63:O63"/>
    <mergeCell ref="D48:G48"/>
    <mergeCell ref="H48:K48"/>
    <mergeCell ref="L48:O48"/>
    <mergeCell ref="C32:C34"/>
    <mergeCell ref="D32:O32"/>
    <mergeCell ref="P32:P34"/>
    <mergeCell ref="Q32:Q34"/>
    <mergeCell ref="Q47:Q49"/>
    <mergeCell ref="C62:C64"/>
    <mergeCell ref="D62:O62"/>
    <mergeCell ref="P62:P64"/>
    <mergeCell ref="B18:B30"/>
    <mergeCell ref="D18:G18"/>
    <mergeCell ref="H18:K18"/>
    <mergeCell ref="L18:O18"/>
    <mergeCell ref="D2:O2"/>
    <mergeCell ref="Q2:Q4"/>
    <mergeCell ref="A3:A15"/>
    <mergeCell ref="B3:B15"/>
    <mergeCell ref="D3:G3"/>
    <mergeCell ref="H3:K3"/>
    <mergeCell ref="L3:O3"/>
    <mergeCell ref="P2:P4"/>
    <mergeCell ref="A18:A30"/>
    <mergeCell ref="C17:C19"/>
    <mergeCell ref="D17:O17"/>
    <mergeCell ref="P17:P19"/>
    <mergeCell ref="C2:C4"/>
    <mergeCell ref="Q17:Q19"/>
    <mergeCell ref="A63:A75"/>
    <mergeCell ref="B63:B75"/>
    <mergeCell ref="D63:G63"/>
    <mergeCell ref="H63:K63"/>
    <mergeCell ref="B33:B45"/>
    <mergeCell ref="D33:G33"/>
    <mergeCell ref="H33:K33"/>
    <mergeCell ref="L33:O33"/>
    <mergeCell ref="C47:C49"/>
    <mergeCell ref="D47:O47"/>
    <mergeCell ref="B48:B60"/>
    <mergeCell ref="A33:A45"/>
    <mergeCell ref="A48:A60"/>
    <mergeCell ref="Q92:Q94"/>
    <mergeCell ref="A93:A105"/>
    <mergeCell ref="B93:B105"/>
    <mergeCell ref="D93:G93"/>
    <mergeCell ref="H93:K93"/>
    <mergeCell ref="L93:O93"/>
    <mergeCell ref="Q77:Q79"/>
    <mergeCell ref="A78:A90"/>
    <mergeCell ref="B78:B90"/>
    <mergeCell ref="D78:G78"/>
    <mergeCell ref="H78:K78"/>
    <mergeCell ref="L78:O78"/>
    <mergeCell ref="C92:C94"/>
    <mergeCell ref="D92:O92"/>
    <mergeCell ref="P92:P94"/>
    <mergeCell ref="C77:C79"/>
    <mergeCell ref="D77:O77"/>
    <mergeCell ref="P77:P79"/>
    <mergeCell ref="AA2:AA3"/>
    <mergeCell ref="V17:V18"/>
    <mergeCell ref="W17:Y17"/>
    <mergeCell ref="Z17:Z18"/>
    <mergeCell ref="AA17:AA18"/>
    <mergeCell ref="V32:V33"/>
    <mergeCell ref="W32:Y32"/>
    <mergeCell ref="Z32:Z33"/>
    <mergeCell ref="AA32:AA33"/>
    <mergeCell ref="V2:V3"/>
    <mergeCell ref="W2:Y2"/>
    <mergeCell ref="Z2:Z3"/>
    <mergeCell ref="V77:V78"/>
    <mergeCell ref="W77:Y77"/>
    <mergeCell ref="Z77:Z78"/>
    <mergeCell ref="AA77:AA78"/>
    <mergeCell ref="V92:V93"/>
    <mergeCell ref="W92:Y92"/>
    <mergeCell ref="Z92:Z93"/>
    <mergeCell ref="AA92:AA93"/>
    <mergeCell ref="V47:V48"/>
    <mergeCell ref="W47:Y47"/>
    <mergeCell ref="Z47:Z48"/>
    <mergeCell ref="AA47:AA48"/>
    <mergeCell ref="V62:V63"/>
    <mergeCell ref="W62:Y62"/>
    <mergeCell ref="Z62:Z63"/>
    <mergeCell ref="AA62:AA63"/>
    <mergeCell ref="AC17:AC18"/>
    <mergeCell ref="AD17:AD18"/>
    <mergeCell ref="AE17:AE18"/>
    <mergeCell ref="AF17:AF18"/>
    <mergeCell ref="AG17:AG18"/>
    <mergeCell ref="AH17:AI17"/>
    <mergeCell ref="AJ17:AJ18"/>
    <mergeCell ref="AK17:AK18"/>
    <mergeCell ref="AC2:AC3"/>
    <mergeCell ref="AD2:AD3"/>
    <mergeCell ref="AE2:AE3"/>
    <mergeCell ref="AF2:AF3"/>
    <mergeCell ref="AG2:AG3"/>
    <mergeCell ref="AH2:AI2"/>
    <mergeCell ref="AC47:AC48"/>
    <mergeCell ref="AD47:AD48"/>
    <mergeCell ref="AE47:AE48"/>
    <mergeCell ref="AF47:AF48"/>
    <mergeCell ref="AG47:AG48"/>
    <mergeCell ref="AH47:AI47"/>
    <mergeCell ref="AJ47:AJ48"/>
    <mergeCell ref="AK47:AK48"/>
    <mergeCell ref="AC32:AC33"/>
    <mergeCell ref="AD32:AD33"/>
    <mergeCell ref="AE32:AE33"/>
    <mergeCell ref="AF32:AF33"/>
    <mergeCell ref="AG32:AG33"/>
    <mergeCell ref="AH32:AI32"/>
    <mergeCell ref="AC92:AC93"/>
    <mergeCell ref="AD92:AD93"/>
    <mergeCell ref="AE92:AE93"/>
    <mergeCell ref="AF92:AF93"/>
    <mergeCell ref="AG92:AG93"/>
    <mergeCell ref="AH92:AI92"/>
    <mergeCell ref="AJ62:AJ63"/>
    <mergeCell ref="AK62:AK63"/>
    <mergeCell ref="AC77:AC78"/>
    <mergeCell ref="AD77:AD78"/>
    <mergeCell ref="AE77:AE78"/>
    <mergeCell ref="AF77:AF78"/>
    <mergeCell ref="AG77:AG78"/>
    <mergeCell ref="AH77:AI77"/>
    <mergeCell ref="AJ77:AJ78"/>
    <mergeCell ref="AK77:AK78"/>
    <mergeCell ref="AC62:AC63"/>
    <mergeCell ref="AD62:AD63"/>
    <mergeCell ref="AE62:AE63"/>
    <mergeCell ref="AF62:AF63"/>
    <mergeCell ref="AG62:AG63"/>
    <mergeCell ref="AH62:AI62"/>
    <mergeCell ref="AM2:AN2"/>
    <mergeCell ref="AM18:AN18"/>
    <mergeCell ref="AM34:AN34"/>
    <mergeCell ref="AM50:AN50"/>
    <mergeCell ref="AM66:AN66"/>
    <mergeCell ref="AM82:AN82"/>
    <mergeCell ref="AM98:AN98"/>
    <mergeCell ref="AJ92:AJ93"/>
    <mergeCell ref="AK92:AK93"/>
    <mergeCell ref="AJ32:AJ33"/>
    <mergeCell ref="AK32:AK33"/>
    <mergeCell ref="AJ2:AJ3"/>
    <mergeCell ref="AK2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Jumlah Daun</vt:lpstr>
      <vt:lpstr>Tinggi Tanaman</vt:lpstr>
      <vt:lpstr>Jumlah Anakan</vt:lpstr>
      <vt:lpstr>Intensitas Penyakit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Juli Yandi Rahman</cp:lastModifiedBy>
  <dcterms:created xsi:type="dcterms:W3CDTF">2024-03-24T17:21:15Z</dcterms:created>
  <dcterms:modified xsi:type="dcterms:W3CDTF">2025-05-21T16:43:42Z</dcterms:modified>
</cp:coreProperties>
</file>